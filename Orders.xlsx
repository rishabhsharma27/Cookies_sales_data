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DAX/"/>
    </mc:Choice>
  </mc:AlternateContent>
  <xr:revisionPtr revIDLastSave="627" documentId="8_{23692E98-58A1-4CC9-8183-E14D7C8F4D83}" xr6:coauthVersionLast="47" xr6:coauthVersionMax="47" xr10:uidLastSave="{2B870233-87B0-409A-B506-9C186F502075}"/>
  <bookViews>
    <workbookView minimized="1" xWindow="345" yWindow="345" windowWidth="38700" windowHeight="15345" firstSheet="5" activeTab="5" xr2:uid="{30484135-C3F6-4EA1-AB6C-FA71C53E08E8}"/>
  </bookViews>
  <sheets>
    <sheet name="Orders" sheetId="3" state="hidden" r:id="rId1"/>
    <sheet name="Working_data" sheetId="7" state="hidden" r:id="rId2"/>
    <sheet name="Table1_figures by date" sheetId="6" state="hidden" r:id="rId3"/>
    <sheet name="Table2_Units sold - customer_id" sheetId="5" state="hidden" r:id="rId4"/>
    <sheet name="Sheet1" sheetId="4" state="hidden" r:id="rId5"/>
    <sheet name="Dashboard" sheetId="8" r:id="rId6"/>
  </sheets>
  <definedNames>
    <definedName name="_xlnm._FilterDatabase" localSheetId="0" hidden="1">Orders!$M$1:$M$704</definedName>
    <definedName name="_xlnm._FilterDatabase" localSheetId="1" hidden="1">Working_data!$P$1:$P$704</definedName>
    <definedName name="NativeTimeline_Date">#N/A</definedName>
    <definedName name="Slicer_Customer_ID">#N/A</definedName>
    <definedName name="Slicer_Month">#N/A</definedName>
    <definedName name="Slicer_Product">#N/A</definedName>
    <definedName name="Slicer_Year">#N/A</definedName>
  </definedNames>
  <calcPr calcId="191028"/>
  <pivotCaches>
    <pivotCache cacheId="443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7" l="1"/>
  <c r="L2" i="7" s="1"/>
  <c r="K3" i="7"/>
  <c r="L3" i="7" s="1"/>
  <c r="K4" i="7"/>
  <c r="L4" i="7" s="1"/>
  <c r="K5" i="7"/>
  <c r="L5" i="7" s="1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32" i="7"/>
  <c r="L32" i="7" s="1"/>
  <c r="K33" i="7"/>
  <c r="L33" i="7" s="1"/>
  <c r="K34" i="7"/>
  <c r="L34" i="7" s="1"/>
  <c r="K35" i="7"/>
  <c r="L35" i="7" s="1"/>
  <c r="K36" i="7"/>
  <c r="L36" i="7" s="1"/>
  <c r="K37" i="7"/>
  <c r="L37" i="7" s="1"/>
  <c r="K38" i="7"/>
  <c r="L38" i="7" s="1"/>
  <c r="K39" i="7"/>
  <c r="L39" i="7" s="1"/>
  <c r="K40" i="7"/>
  <c r="L40" i="7" s="1"/>
  <c r="K41" i="7"/>
  <c r="L41" i="7" s="1"/>
  <c r="K42" i="7"/>
  <c r="L42" i="7" s="1"/>
  <c r="K43" i="7"/>
  <c r="L43" i="7" s="1"/>
  <c r="K44" i="7"/>
  <c r="L44" i="7" s="1"/>
  <c r="K45" i="7"/>
  <c r="L45" i="7" s="1"/>
  <c r="K46" i="7"/>
  <c r="L46" i="7" s="1"/>
  <c r="K47" i="7"/>
  <c r="L47" i="7" s="1"/>
  <c r="K48" i="7"/>
  <c r="L48" i="7" s="1"/>
  <c r="K49" i="7"/>
  <c r="L49" i="7" s="1"/>
  <c r="K50" i="7"/>
  <c r="L50" i="7" s="1"/>
  <c r="K51" i="7"/>
  <c r="L51" i="7" s="1"/>
  <c r="K52" i="7"/>
  <c r="L52" i="7" s="1"/>
  <c r="K53" i="7"/>
  <c r="L53" i="7" s="1"/>
  <c r="K54" i="7"/>
  <c r="L54" i="7" s="1"/>
  <c r="K55" i="7"/>
  <c r="L55" i="7" s="1"/>
  <c r="K56" i="7"/>
  <c r="L56" i="7" s="1"/>
  <c r="K57" i="7"/>
  <c r="L57" i="7" s="1"/>
  <c r="K58" i="7"/>
  <c r="L58" i="7" s="1"/>
  <c r="K59" i="7"/>
  <c r="L59" i="7" s="1"/>
  <c r="K60" i="7"/>
  <c r="L60" i="7" s="1"/>
  <c r="K61" i="7"/>
  <c r="L61" i="7" s="1"/>
  <c r="K62" i="7"/>
  <c r="L62" i="7" s="1"/>
  <c r="K63" i="7"/>
  <c r="L63" i="7" s="1"/>
  <c r="K64" i="7"/>
  <c r="L64" i="7" s="1"/>
  <c r="K65" i="7"/>
  <c r="L65" i="7" s="1"/>
  <c r="K66" i="7"/>
  <c r="L66" i="7" s="1"/>
  <c r="K67" i="7"/>
  <c r="L67" i="7" s="1"/>
  <c r="K68" i="7"/>
  <c r="L68" i="7" s="1"/>
  <c r="K69" i="7"/>
  <c r="L69" i="7" s="1"/>
  <c r="K70" i="7"/>
  <c r="L70" i="7" s="1"/>
  <c r="K71" i="7"/>
  <c r="L71" i="7" s="1"/>
  <c r="K72" i="7"/>
  <c r="L72" i="7" s="1"/>
  <c r="K73" i="7"/>
  <c r="L73" i="7" s="1"/>
  <c r="K74" i="7"/>
  <c r="L74" i="7" s="1"/>
  <c r="K75" i="7"/>
  <c r="L75" i="7" s="1"/>
  <c r="K76" i="7"/>
  <c r="L76" i="7" s="1"/>
  <c r="K77" i="7"/>
  <c r="L77" i="7" s="1"/>
  <c r="K78" i="7"/>
  <c r="L78" i="7" s="1"/>
  <c r="K79" i="7"/>
  <c r="L79" i="7" s="1"/>
  <c r="K80" i="7"/>
  <c r="L80" i="7" s="1"/>
  <c r="K81" i="7"/>
  <c r="L81" i="7" s="1"/>
  <c r="K82" i="7"/>
  <c r="L82" i="7" s="1"/>
  <c r="K83" i="7"/>
  <c r="L83" i="7" s="1"/>
  <c r="K84" i="7"/>
  <c r="L84" i="7" s="1"/>
  <c r="K85" i="7"/>
  <c r="L85" i="7" s="1"/>
  <c r="K86" i="7"/>
  <c r="L86" i="7" s="1"/>
  <c r="K87" i="7"/>
  <c r="L87" i="7" s="1"/>
  <c r="K88" i="7"/>
  <c r="L88" i="7" s="1"/>
  <c r="K89" i="7"/>
  <c r="L89" i="7" s="1"/>
  <c r="K90" i="7"/>
  <c r="L90" i="7" s="1"/>
  <c r="K91" i="7"/>
  <c r="L91" i="7" s="1"/>
  <c r="K92" i="7"/>
  <c r="L92" i="7" s="1"/>
  <c r="K93" i="7"/>
  <c r="L93" i="7" s="1"/>
  <c r="K94" i="7"/>
  <c r="L94" i="7" s="1"/>
  <c r="K95" i="7"/>
  <c r="L95" i="7" s="1"/>
  <c r="K96" i="7"/>
  <c r="L96" i="7" s="1"/>
  <c r="K97" i="7"/>
  <c r="L97" i="7" s="1"/>
  <c r="K98" i="7"/>
  <c r="L98" i="7" s="1"/>
  <c r="K99" i="7"/>
  <c r="L99" i="7" s="1"/>
  <c r="K100" i="7"/>
  <c r="L100" i="7" s="1"/>
  <c r="K101" i="7"/>
  <c r="L101" i="7" s="1"/>
  <c r="K102" i="7"/>
  <c r="L102" i="7" s="1"/>
  <c r="K103" i="7"/>
  <c r="L103" i="7" s="1"/>
  <c r="K104" i="7"/>
  <c r="L104" i="7" s="1"/>
  <c r="K105" i="7"/>
  <c r="L105" i="7" s="1"/>
  <c r="K106" i="7"/>
  <c r="L106" i="7" s="1"/>
  <c r="K107" i="7"/>
  <c r="L107" i="7" s="1"/>
  <c r="K108" i="7"/>
  <c r="L108" i="7" s="1"/>
  <c r="K109" i="7"/>
  <c r="L109" i="7" s="1"/>
  <c r="K110" i="7"/>
  <c r="L110" i="7" s="1"/>
  <c r="K111" i="7"/>
  <c r="L111" i="7" s="1"/>
  <c r="K112" i="7"/>
  <c r="L112" i="7" s="1"/>
  <c r="K113" i="7"/>
  <c r="L113" i="7" s="1"/>
  <c r="K114" i="7"/>
  <c r="L114" i="7" s="1"/>
  <c r="K115" i="7"/>
  <c r="L115" i="7" s="1"/>
  <c r="K116" i="7"/>
  <c r="L116" i="7" s="1"/>
  <c r="K117" i="7"/>
  <c r="L117" i="7" s="1"/>
  <c r="K118" i="7"/>
  <c r="L118" i="7" s="1"/>
  <c r="K119" i="7"/>
  <c r="L119" i="7" s="1"/>
  <c r="K120" i="7"/>
  <c r="L120" i="7" s="1"/>
  <c r="K121" i="7"/>
  <c r="L121" i="7" s="1"/>
  <c r="K122" i="7"/>
  <c r="L122" i="7" s="1"/>
  <c r="K123" i="7"/>
  <c r="L123" i="7" s="1"/>
  <c r="K124" i="7"/>
  <c r="L124" i="7" s="1"/>
  <c r="K125" i="7"/>
  <c r="L125" i="7" s="1"/>
  <c r="K126" i="7"/>
  <c r="L126" i="7" s="1"/>
  <c r="K127" i="7"/>
  <c r="L127" i="7" s="1"/>
  <c r="K128" i="7"/>
  <c r="L128" i="7" s="1"/>
  <c r="K129" i="7"/>
  <c r="L129" i="7" s="1"/>
  <c r="K130" i="7"/>
  <c r="L130" i="7" s="1"/>
  <c r="K131" i="7"/>
  <c r="L131" i="7" s="1"/>
  <c r="K132" i="7"/>
  <c r="L132" i="7" s="1"/>
  <c r="K133" i="7"/>
  <c r="L133" i="7" s="1"/>
  <c r="K134" i="7"/>
  <c r="L134" i="7" s="1"/>
  <c r="K135" i="7"/>
  <c r="L135" i="7" s="1"/>
  <c r="K136" i="7"/>
  <c r="L136" i="7" s="1"/>
  <c r="K137" i="7"/>
  <c r="L137" i="7" s="1"/>
  <c r="K138" i="7"/>
  <c r="L138" i="7" s="1"/>
  <c r="K139" i="7"/>
  <c r="L139" i="7" s="1"/>
  <c r="K140" i="7"/>
  <c r="L140" i="7" s="1"/>
  <c r="K141" i="7"/>
  <c r="L141" i="7" s="1"/>
  <c r="K142" i="7"/>
  <c r="L142" i="7" s="1"/>
  <c r="K143" i="7"/>
  <c r="L143" i="7" s="1"/>
  <c r="K144" i="7"/>
  <c r="L144" i="7" s="1"/>
  <c r="K145" i="7"/>
  <c r="L145" i="7" s="1"/>
  <c r="K146" i="7"/>
  <c r="L146" i="7" s="1"/>
  <c r="K147" i="7"/>
  <c r="L147" i="7" s="1"/>
  <c r="K148" i="7"/>
  <c r="L148" i="7" s="1"/>
  <c r="K149" i="7"/>
  <c r="L149" i="7" s="1"/>
  <c r="K150" i="7"/>
  <c r="L150" i="7" s="1"/>
  <c r="K151" i="7"/>
  <c r="L151" i="7" s="1"/>
  <c r="K152" i="7"/>
  <c r="L152" i="7" s="1"/>
  <c r="K153" i="7"/>
  <c r="L153" i="7" s="1"/>
  <c r="K154" i="7"/>
  <c r="L154" i="7" s="1"/>
  <c r="K155" i="7"/>
  <c r="L155" i="7" s="1"/>
  <c r="K156" i="7"/>
  <c r="L156" i="7" s="1"/>
  <c r="K157" i="7"/>
  <c r="L157" i="7" s="1"/>
  <c r="K158" i="7"/>
  <c r="L158" i="7" s="1"/>
  <c r="K159" i="7"/>
  <c r="L159" i="7" s="1"/>
  <c r="K160" i="7"/>
  <c r="L160" i="7" s="1"/>
  <c r="K161" i="7"/>
  <c r="L161" i="7" s="1"/>
  <c r="K162" i="7"/>
  <c r="L162" i="7" s="1"/>
  <c r="K163" i="7"/>
  <c r="L163" i="7" s="1"/>
  <c r="K164" i="7"/>
  <c r="L164" i="7" s="1"/>
  <c r="K165" i="7"/>
  <c r="L165" i="7" s="1"/>
  <c r="K166" i="7"/>
  <c r="L166" i="7" s="1"/>
  <c r="K167" i="7"/>
  <c r="L167" i="7" s="1"/>
  <c r="K168" i="7"/>
  <c r="L168" i="7" s="1"/>
  <c r="K169" i="7"/>
  <c r="L169" i="7" s="1"/>
  <c r="K170" i="7"/>
  <c r="L170" i="7" s="1"/>
  <c r="K171" i="7"/>
  <c r="L171" i="7" s="1"/>
  <c r="K172" i="7"/>
  <c r="L172" i="7" s="1"/>
  <c r="K173" i="7"/>
  <c r="L173" i="7" s="1"/>
  <c r="K174" i="7"/>
  <c r="L174" i="7" s="1"/>
  <c r="K175" i="7"/>
  <c r="L175" i="7" s="1"/>
  <c r="K176" i="7"/>
  <c r="L176" i="7" s="1"/>
  <c r="K177" i="7"/>
  <c r="L177" i="7" s="1"/>
  <c r="K178" i="7"/>
  <c r="L178" i="7" s="1"/>
  <c r="K179" i="7"/>
  <c r="L179" i="7" s="1"/>
  <c r="K180" i="7"/>
  <c r="L180" i="7" s="1"/>
  <c r="K181" i="7"/>
  <c r="L181" i="7" s="1"/>
  <c r="K182" i="7"/>
  <c r="L182" i="7" s="1"/>
  <c r="K183" i="7"/>
  <c r="L183" i="7" s="1"/>
  <c r="K184" i="7"/>
  <c r="L184" i="7" s="1"/>
  <c r="K185" i="7"/>
  <c r="L185" i="7" s="1"/>
  <c r="K186" i="7"/>
  <c r="L186" i="7" s="1"/>
  <c r="K187" i="7"/>
  <c r="L187" i="7" s="1"/>
  <c r="K188" i="7"/>
  <c r="L188" i="7" s="1"/>
  <c r="K189" i="7"/>
  <c r="L189" i="7" s="1"/>
  <c r="K190" i="7"/>
  <c r="L190" i="7" s="1"/>
  <c r="K191" i="7"/>
  <c r="L191" i="7" s="1"/>
  <c r="K192" i="7"/>
  <c r="L192" i="7" s="1"/>
  <c r="K193" i="7"/>
  <c r="L193" i="7" s="1"/>
  <c r="K194" i="7"/>
  <c r="L194" i="7" s="1"/>
  <c r="K195" i="7"/>
  <c r="L195" i="7" s="1"/>
  <c r="K196" i="7"/>
  <c r="L196" i="7" s="1"/>
  <c r="K197" i="7"/>
  <c r="L197" i="7" s="1"/>
  <c r="K198" i="7"/>
  <c r="L198" i="7" s="1"/>
  <c r="K199" i="7"/>
  <c r="L199" i="7" s="1"/>
  <c r="K200" i="7"/>
  <c r="L200" i="7" s="1"/>
  <c r="K201" i="7"/>
  <c r="L201" i="7" s="1"/>
  <c r="K202" i="7"/>
  <c r="L202" i="7" s="1"/>
  <c r="K203" i="7"/>
  <c r="L203" i="7" s="1"/>
  <c r="K204" i="7"/>
  <c r="L204" i="7" s="1"/>
  <c r="K205" i="7"/>
  <c r="L205" i="7" s="1"/>
  <c r="K206" i="7"/>
  <c r="L206" i="7" s="1"/>
  <c r="K207" i="7"/>
  <c r="L207" i="7" s="1"/>
  <c r="K208" i="7"/>
  <c r="L208" i="7" s="1"/>
  <c r="K209" i="7"/>
  <c r="L209" i="7" s="1"/>
  <c r="K210" i="7"/>
  <c r="L210" i="7" s="1"/>
  <c r="K211" i="7"/>
  <c r="L211" i="7" s="1"/>
  <c r="K212" i="7"/>
  <c r="L212" i="7" s="1"/>
  <c r="K213" i="7"/>
  <c r="L213" i="7" s="1"/>
  <c r="K214" i="7"/>
  <c r="L214" i="7" s="1"/>
  <c r="K215" i="7"/>
  <c r="L215" i="7" s="1"/>
  <c r="K216" i="7"/>
  <c r="L216" i="7" s="1"/>
  <c r="K217" i="7"/>
  <c r="L217" i="7" s="1"/>
  <c r="K218" i="7"/>
  <c r="L218" i="7" s="1"/>
  <c r="K219" i="7"/>
  <c r="L219" i="7" s="1"/>
  <c r="K220" i="7"/>
  <c r="L220" i="7" s="1"/>
  <c r="K221" i="7"/>
  <c r="L221" i="7" s="1"/>
  <c r="K222" i="7"/>
  <c r="L222" i="7" s="1"/>
  <c r="K223" i="7"/>
  <c r="L223" i="7" s="1"/>
  <c r="K224" i="7"/>
  <c r="L224" i="7" s="1"/>
  <c r="K225" i="7"/>
  <c r="L225" i="7" s="1"/>
  <c r="K226" i="7"/>
  <c r="L226" i="7" s="1"/>
  <c r="K227" i="7"/>
  <c r="L227" i="7" s="1"/>
  <c r="K228" i="7"/>
  <c r="L228" i="7" s="1"/>
  <c r="K229" i="7"/>
  <c r="L229" i="7" s="1"/>
  <c r="K230" i="7"/>
  <c r="L230" i="7" s="1"/>
  <c r="K231" i="7"/>
  <c r="L231" i="7" s="1"/>
  <c r="K232" i="7"/>
  <c r="L232" i="7" s="1"/>
  <c r="K233" i="7"/>
  <c r="L233" i="7" s="1"/>
  <c r="K234" i="7"/>
  <c r="L234" i="7" s="1"/>
  <c r="K235" i="7"/>
  <c r="L235" i="7" s="1"/>
  <c r="K236" i="7"/>
  <c r="L236" i="7" s="1"/>
  <c r="K237" i="7"/>
  <c r="L237" i="7" s="1"/>
  <c r="K238" i="7"/>
  <c r="L238" i="7" s="1"/>
  <c r="K239" i="7"/>
  <c r="L239" i="7" s="1"/>
  <c r="K240" i="7"/>
  <c r="L240" i="7" s="1"/>
  <c r="K241" i="7"/>
  <c r="L241" i="7" s="1"/>
  <c r="K242" i="7"/>
  <c r="L242" i="7" s="1"/>
  <c r="K243" i="7"/>
  <c r="L243" i="7" s="1"/>
  <c r="K244" i="7"/>
  <c r="L244" i="7" s="1"/>
  <c r="K245" i="7"/>
  <c r="L245" i="7" s="1"/>
  <c r="K246" i="7"/>
  <c r="L246" i="7" s="1"/>
  <c r="K247" i="7"/>
  <c r="L247" i="7" s="1"/>
  <c r="K248" i="7"/>
  <c r="L248" i="7" s="1"/>
  <c r="K249" i="7"/>
  <c r="L249" i="7" s="1"/>
  <c r="K250" i="7"/>
  <c r="L250" i="7" s="1"/>
  <c r="K251" i="7"/>
  <c r="L251" i="7" s="1"/>
  <c r="K252" i="7"/>
  <c r="L252" i="7" s="1"/>
  <c r="K253" i="7"/>
  <c r="L253" i="7" s="1"/>
  <c r="K254" i="7"/>
  <c r="L254" i="7" s="1"/>
  <c r="K255" i="7"/>
  <c r="L255" i="7" s="1"/>
  <c r="K256" i="7"/>
  <c r="L256" i="7" s="1"/>
  <c r="K257" i="7"/>
  <c r="L257" i="7" s="1"/>
  <c r="K258" i="7"/>
  <c r="L258" i="7" s="1"/>
  <c r="K259" i="7"/>
  <c r="L259" i="7" s="1"/>
  <c r="K260" i="7"/>
  <c r="L260" i="7" s="1"/>
  <c r="K261" i="7"/>
  <c r="L261" i="7" s="1"/>
  <c r="K262" i="7"/>
  <c r="L262" i="7" s="1"/>
  <c r="K263" i="7"/>
  <c r="L263" i="7" s="1"/>
  <c r="K264" i="7"/>
  <c r="L264" i="7" s="1"/>
  <c r="K265" i="7"/>
  <c r="L265" i="7" s="1"/>
  <c r="K266" i="7"/>
  <c r="L266" i="7" s="1"/>
  <c r="K267" i="7"/>
  <c r="L267" i="7" s="1"/>
  <c r="K268" i="7"/>
  <c r="L268" i="7" s="1"/>
  <c r="K269" i="7"/>
  <c r="L269" i="7" s="1"/>
  <c r="K270" i="7"/>
  <c r="L270" i="7" s="1"/>
  <c r="K271" i="7"/>
  <c r="L271" i="7" s="1"/>
  <c r="K272" i="7"/>
  <c r="L272" i="7" s="1"/>
  <c r="K273" i="7"/>
  <c r="L273" i="7" s="1"/>
  <c r="K274" i="7"/>
  <c r="L274" i="7" s="1"/>
  <c r="K275" i="7"/>
  <c r="L275" i="7" s="1"/>
  <c r="K276" i="7"/>
  <c r="L276" i="7" s="1"/>
  <c r="K277" i="7"/>
  <c r="L277" i="7" s="1"/>
  <c r="K278" i="7"/>
  <c r="L278" i="7" s="1"/>
  <c r="K279" i="7"/>
  <c r="L279" i="7" s="1"/>
  <c r="K280" i="7"/>
  <c r="L280" i="7" s="1"/>
  <c r="K281" i="7"/>
  <c r="L281" i="7" s="1"/>
  <c r="K282" i="7"/>
  <c r="L282" i="7" s="1"/>
  <c r="K283" i="7"/>
  <c r="L283" i="7" s="1"/>
  <c r="K284" i="7"/>
  <c r="L284" i="7" s="1"/>
  <c r="K285" i="7"/>
  <c r="L285" i="7" s="1"/>
  <c r="K286" i="7"/>
  <c r="L286" i="7" s="1"/>
  <c r="K287" i="7"/>
  <c r="L287" i="7" s="1"/>
  <c r="K288" i="7"/>
  <c r="L288" i="7" s="1"/>
  <c r="K289" i="7"/>
  <c r="L289" i="7" s="1"/>
  <c r="K290" i="7"/>
  <c r="L290" i="7" s="1"/>
  <c r="K291" i="7"/>
  <c r="L291" i="7" s="1"/>
  <c r="K292" i="7"/>
  <c r="L292" i="7" s="1"/>
  <c r="K293" i="7"/>
  <c r="L293" i="7" s="1"/>
  <c r="K294" i="7"/>
  <c r="L294" i="7" s="1"/>
  <c r="K295" i="7"/>
  <c r="L295" i="7" s="1"/>
  <c r="K296" i="7"/>
  <c r="L296" i="7" s="1"/>
  <c r="K297" i="7"/>
  <c r="L297" i="7" s="1"/>
  <c r="K298" i="7"/>
  <c r="L298" i="7" s="1"/>
  <c r="K299" i="7"/>
  <c r="L299" i="7" s="1"/>
  <c r="K300" i="7"/>
  <c r="L300" i="7" s="1"/>
  <c r="K301" i="7"/>
  <c r="L301" i="7" s="1"/>
  <c r="K302" i="7"/>
  <c r="L302" i="7" s="1"/>
  <c r="K303" i="7"/>
  <c r="L303" i="7" s="1"/>
  <c r="K304" i="7"/>
  <c r="L304" i="7" s="1"/>
  <c r="K305" i="7"/>
  <c r="L305" i="7" s="1"/>
  <c r="K306" i="7"/>
  <c r="L306" i="7" s="1"/>
  <c r="K307" i="7"/>
  <c r="L307" i="7" s="1"/>
  <c r="K308" i="7"/>
  <c r="L308" i="7" s="1"/>
  <c r="K309" i="7"/>
  <c r="L309" i="7" s="1"/>
  <c r="K310" i="7"/>
  <c r="L310" i="7" s="1"/>
  <c r="K311" i="7"/>
  <c r="L311" i="7" s="1"/>
  <c r="K312" i="7"/>
  <c r="L312" i="7" s="1"/>
  <c r="K313" i="7"/>
  <c r="L313" i="7" s="1"/>
  <c r="K314" i="7"/>
  <c r="L314" i="7" s="1"/>
  <c r="K315" i="7"/>
  <c r="L315" i="7" s="1"/>
  <c r="K316" i="7"/>
  <c r="L316" i="7" s="1"/>
  <c r="K317" i="7"/>
  <c r="L317" i="7" s="1"/>
  <c r="K318" i="7"/>
  <c r="L318" i="7" s="1"/>
  <c r="K319" i="7"/>
  <c r="L319" i="7" s="1"/>
  <c r="K320" i="7"/>
  <c r="L320" i="7" s="1"/>
  <c r="K321" i="7"/>
  <c r="L321" i="7" s="1"/>
  <c r="K322" i="7"/>
  <c r="L322" i="7" s="1"/>
  <c r="K323" i="7"/>
  <c r="L323" i="7" s="1"/>
  <c r="K324" i="7"/>
  <c r="L324" i="7" s="1"/>
  <c r="K325" i="7"/>
  <c r="L325" i="7" s="1"/>
  <c r="K326" i="7"/>
  <c r="L326" i="7" s="1"/>
  <c r="K327" i="7"/>
  <c r="L327" i="7" s="1"/>
  <c r="K328" i="7"/>
  <c r="L328" i="7" s="1"/>
  <c r="K329" i="7"/>
  <c r="L329" i="7" s="1"/>
  <c r="K330" i="7"/>
  <c r="L330" i="7" s="1"/>
  <c r="K331" i="7"/>
  <c r="L331" i="7" s="1"/>
  <c r="K332" i="7"/>
  <c r="L332" i="7" s="1"/>
  <c r="K333" i="7"/>
  <c r="L333" i="7" s="1"/>
  <c r="K334" i="7"/>
  <c r="L334" i="7" s="1"/>
  <c r="K335" i="7"/>
  <c r="L335" i="7" s="1"/>
  <c r="K336" i="7"/>
  <c r="L336" i="7" s="1"/>
  <c r="K337" i="7"/>
  <c r="L337" i="7" s="1"/>
  <c r="K338" i="7"/>
  <c r="L338" i="7" s="1"/>
  <c r="K339" i="7"/>
  <c r="L339" i="7" s="1"/>
  <c r="K340" i="7"/>
  <c r="L340" i="7" s="1"/>
  <c r="K341" i="7"/>
  <c r="L341" i="7" s="1"/>
  <c r="K342" i="7"/>
  <c r="L342" i="7" s="1"/>
  <c r="K343" i="7"/>
  <c r="L343" i="7" s="1"/>
  <c r="K344" i="7"/>
  <c r="L344" i="7" s="1"/>
  <c r="K345" i="7"/>
  <c r="L345" i="7" s="1"/>
  <c r="K346" i="7"/>
  <c r="L346" i="7" s="1"/>
  <c r="K347" i="7"/>
  <c r="L347" i="7" s="1"/>
  <c r="K348" i="7"/>
  <c r="L348" i="7" s="1"/>
  <c r="K349" i="7"/>
  <c r="L349" i="7" s="1"/>
  <c r="K350" i="7"/>
  <c r="L350" i="7" s="1"/>
  <c r="K351" i="7"/>
  <c r="L351" i="7" s="1"/>
  <c r="K352" i="7"/>
  <c r="L352" i="7" s="1"/>
  <c r="K353" i="7"/>
  <c r="L353" i="7" s="1"/>
  <c r="K354" i="7"/>
  <c r="L354" i="7" s="1"/>
  <c r="K355" i="7"/>
  <c r="L355" i="7" s="1"/>
  <c r="K356" i="7"/>
  <c r="L356" i="7" s="1"/>
  <c r="K357" i="7"/>
  <c r="L357" i="7" s="1"/>
  <c r="K358" i="7"/>
  <c r="L358" i="7" s="1"/>
  <c r="K359" i="7"/>
  <c r="L359" i="7" s="1"/>
  <c r="K360" i="7"/>
  <c r="L360" i="7" s="1"/>
  <c r="K361" i="7"/>
  <c r="L361" i="7" s="1"/>
  <c r="K362" i="7"/>
  <c r="L362" i="7" s="1"/>
  <c r="K363" i="7"/>
  <c r="L363" i="7" s="1"/>
  <c r="K364" i="7"/>
  <c r="L364" i="7" s="1"/>
  <c r="K365" i="7"/>
  <c r="L365" i="7" s="1"/>
  <c r="K366" i="7"/>
  <c r="L366" i="7" s="1"/>
  <c r="K367" i="7"/>
  <c r="L367" i="7" s="1"/>
  <c r="K368" i="7"/>
  <c r="L368" i="7" s="1"/>
  <c r="K369" i="7"/>
  <c r="L369" i="7" s="1"/>
  <c r="K370" i="7"/>
  <c r="L370" i="7" s="1"/>
  <c r="K371" i="7"/>
  <c r="L371" i="7" s="1"/>
  <c r="K372" i="7"/>
  <c r="L372" i="7" s="1"/>
  <c r="K373" i="7"/>
  <c r="L373" i="7" s="1"/>
  <c r="K374" i="7"/>
  <c r="L374" i="7" s="1"/>
  <c r="K375" i="7"/>
  <c r="L375" i="7" s="1"/>
  <c r="K376" i="7"/>
  <c r="L376" i="7" s="1"/>
  <c r="K377" i="7"/>
  <c r="L377" i="7" s="1"/>
  <c r="K378" i="7"/>
  <c r="L378" i="7" s="1"/>
  <c r="K379" i="7"/>
  <c r="L379" i="7" s="1"/>
  <c r="K380" i="7"/>
  <c r="L380" i="7" s="1"/>
  <c r="K381" i="7"/>
  <c r="L381" i="7" s="1"/>
  <c r="K382" i="7"/>
  <c r="L382" i="7" s="1"/>
  <c r="K383" i="7"/>
  <c r="L383" i="7" s="1"/>
  <c r="K384" i="7"/>
  <c r="L384" i="7" s="1"/>
  <c r="K385" i="7"/>
  <c r="L385" i="7" s="1"/>
  <c r="K386" i="7"/>
  <c r="L386" i="7" s="1"/>
  <c r="K387" i="7"/>
  <c r="L387" i="7" s="1"/>
  <c r="K388" i="7"/>
  <c r="L388" i="7" s="1"/>
  <c r="K389" i="7"/>
  <c r="L389" i="7" s="1"/>
  <c r="K390" i="7"/>
  <c r="L390" i="7" s="1"/>
  <c r="K391" i="7"/>
  <c r="L391" i="7" s="1"/>
  <c r="K392" i="7"/>
  <c r="L392" i="7" s="1"/>
  <c r="K393" i="7"/>
  <c r="L393" i="7" s="1"/>
  <c r="K394" i="7"/>
  <c r="L394" i="7" s="1"/>
  <c r="K395" i="7"/>
  <c r="L395" i="7" s="1"/>
  <c r="K396" i="7"/>
  <c r="L396" i="7" s="1"/>
  <c r="K397" i="7"/>
  <c r="L397" i="7" s="1"/>
  <c r="K398" i="7"/>
  <c r="L398" i="7" s="1"/>
  <c r="K399" i="7"/>
  <c r="L399" i="7" s="1"/>
  <c r="K400" i="7"/>
  <c r="L400" i="7" s="1"/>
  <c r="K401" i="7"/>
  <c r="L401" i="7" s="1"/>
  <c r="K402" i="7"/>
  <c r="L402" i="7" s="1"/>
  <c r="K403" i="7"/>
  <c r="L403" i="7" s="1"/>
  <c r="K404" i="7"/>
  <c r="L404" i="7" s="1"/>
  <c r="K405" i="7"/>
  <c r="L405" i="7" s="1"/>
  <c r="K406" i="7"/>
  <c r="L406" i="7" s="1"/>
  <c r="K407" i="7"/>
  <c r="L407" i="7" s="1"/>
  <c r="K408" i="7"/>
  <c r="L408" i="7" s="1"/>
  <c r="K409" i="7"/>
  <c r="L409" i="7" s="1"/>
  <c r="K410" i="7"/>
  <c r="L410" i="7" s="1"/>
  <c r="K411" i="7"/>
  <c r="L411" i="7" s="1"/>
  <c r="K412" i="7"/>
  <c r="L412" i="7" s="1"/>
  <c r="K413" i="7"/>
  <c r="L413" i="7" s="1"/>
  <c r="K414" i="7"/>
  <c r="L414" i="7" s="1"/>
  <c r="K415" i="7"/>
  <c r="L415" i="7" s="1"/>
  <c r="K416" i="7"/>
  <c r="L416" i="7" s="1"/>
  <c r="K417" i="7"/>
  <c r="L417" i="7" s="1"/>
  <c r="K418" i="7"/>
  <c r="L418" i="7" s="1"/>
  <c r="K419" i="7"/>
  <c r="L419" i="7" s="1"/>
  <c r="K420" i="7"/>
  <c r="L420" i="7" s="1"/>
  <c r="K421" i="7"/>
  <c r="L421" i="7" s="1"/>
  <c r="K422" i="7"/>
  <c r="L422" i="7" s="1"/>
  <c r="K423" i="7"/>
  <c r="L423" i="7" s="1"/>
  <c r="K424" i="7"/>
  <c r="L424" i="7" s="1"/>
  <c r="K425" i="7"/>
  <c r="L425" i="7" s="1"/>
  <c r="K426" i="7"/>
  <c r="L426" i="7" s="1"/>
  <c r="K427" i="7"/>
  <c r="L427" i="7" s="1"/>
  <c r="K428" i="7"/>
  <c r="L428" i="7" s="1"/>
  <c r="K429" i="7"/>
  <c r="L429" i="7" s="1"/>
  <c r="K430" i="7"/>
  <c r="L430" i="7" s="1"/>
  <c r="K431" i="7"/>
  <c r="L431" i="7" s="1"/>
  <c r="K432" i="7"/>
  <c r="L432" i="7" s="1"/>
  <c r="K433" i="7"/>
  <c r="L433" i="7" s="1"/>
  <c r="K434" i="7"/>
  <c r="L434" i="7" s="1"/>
  <c r="K435" i="7"/>
  <c r="L435" i="7" s="1"/>
  <c r="K436" i="7"/>
  <c r="L436" i="7" s="1"/>
  <c r="K437" i="7"/>
  <c r="L437" i="7" s="1"/>
  <c r="K438" i="7"/>
  <c r="L438" i="7" s="1"/>
  <c r="K439" i="7"/>
  <c r="L439" i="7" s="1"/>
  <c r="K440" i="7"/>
  <c r="L440" i="7" s="1"/>
  <c r="K441" i="7"/>
  <c r="L441" i="7" s="1"/>
  <c r="K442" i="7"/>
  <c r="L442" i="7" s="1"/>
  <c r="K443" i="7"/>
  <c r="L443" i="7" s="1"/>
  <c r="K444" i="7"/>
  <c r="L444" i="7" s="1"/>
  <c r="K445" i="7"/>
  <c r="L445" i="7" s="1"/>
  <c r="K446" i="7"/>
  <c r="L446" i="7" s="1"/>
  <c r="K447" i="7"/>
  <c r="L447" i="7" s="1"/>
  <c r="K448" i="7"/>
  <c r="L448" i="7" s="1"/>
  <c r="K449" i="7"/>
  <c r="L449" i="7" s="1"/>
  <c r="K450" i="7"/>
  <c r="L450" i="7" s="1"/>
  <c r="K451" i="7"/>
  <c r="L451" i="7" s="1"/>
  <c r="K452" i="7"/>
  <c r="L452" i="7" s="1"/>
  <c r="K453" i="7"/>
  <c r="L453" i="7" s="1"/>
  <c r="K454" i="7"/>
  <c r="L454" i="7" s="1"/>
  <c r="K455" i="7"/>
  <c r="L455" i="7" s="1"/>
  <c r="K456" i="7"/>
  <c r="L456" i="7" s="1"/>
  <c r="K457" i="7"/>
  <c r="L457" i="7" s="1"/>
  <c r="K458" i="7"/>
  <c r="L458" i="7" s="1"/>
  <c r="K459" i="7"/>
  <c r="L459" i="7" s="1"/>
  <c r="K460" i="7"/>
  <c r="L460" i="7" s="1"/>
  <c r="K461" i="7"/>
  <c r="L461" i="7" s="1"/>
  <c r="K462" i="7"/>
  <c r="L462" i="7" s="1"/>
  <c r="K463" i="7"/>
  <c r="L463" i="7" s="1"/>
  <c r="K464" i="7"/>
  <c r="L464" i="7" s="1"/>
  <c r="K465" i="7"/>
  <c r="L465" i="7" s="1"/>
  <c r="K466" i="7"/>
  <c r="L466" i="7" s="1"/>
  <c r="K467" i="7"/>
  <c r="L467" i="7" s="1"/>
  <c r="K468" i="7"/>
  <c r="L468" i="7" s="1"/>
  <c r="K469" i="7"/>
  <c r="L469" i="7" s="1"/>
  <c r="K470" i="7"/>
  <c r="L470" i="7" s="1"/>
  <c r="K471" i="7"/>
  <c r="L471" i="7" s="1"/>
  <c r="K472" i="7"/>
  <c r="L472" i="7" s="1"/>
  <c r="K473" i="7"/>
  <c r="L473" i="7" s="1"/>
  <c r="K474" i="7"/>
  <c r="L474" i="7" s="1"/>
  <c r="K475" i="7"/>
  <c r="L475" i="7" s="1"/>
  <c r="K476" i="7"/>
  <c r="L476" i="7" s="1"/>
  <c r="K477" i="7"/>
  <c r="L477" i="7" s="1"/>
  <c r="K478" i="7"/>
  <c r="L478" i="7" s="1"/>
  <c r="K479" i="7"/>
  <c r="L479" i="7" s="1"/>
  <c r="K480" i="7"/>
  <c r="L480" i="7" s="1"/>
  <c r="K481" i="7"/>
  <c r="L481" i="7" s="1"/>
  <c r="K482" i="7"/>
  <c r="L482" i="7" s="1"/>
  <c r="K483" i="7"/>
  <c r="L483" i="7" s="1"/>
  <c r="K484" i="7"/>
  <c r="L484" i="7" s="1"/>
  <c r="K485" i="7"/>
  <c r="L485" i="7" s="1"/>
  <c r="K486" i="7"/>
  <c r="L486" i="7" s="1"/>
  <c r="K487" i="7"/>
  <c r="L487" i="7" s="1"/>
  <c r="K488" i="7"/>
  <c r="L488" i="7" s="1"/>
  <c r="K489" i="7"/>
  <c r="L489" i="7" s="1"/>
  <c r="K490" i="7"/>
  <c r="L490" i="7" s="1"/>
  <c r="K491" i="7"/>
  <c r="L491" i="7" s="1"/>
  <c r="K492" i="7"/>
  <c r="L492" i="7" s="1"/>
  <c r="K493" i="7"/>
  <c r="L493" i="7" s="1"/>
  <c r="K494" i="7"/>
  <c r="L494" i="7" s="1"/>
  <c r="K495" i="7"/>
  <c r="L495" i="7" s="1"/>
  <c r="K496" i="7"/>
  <c r="L496" i="7" s="1"/>
  <c r="K497" i="7"/>
  <c r="L497" i="7" s="1"/>
  <c r="K498" i="7"/>
  <c r="L498" i="7" s="1"/>
  <c r="K499" i="7"/>
  <c r="L499" i="7" s="1"/>
  <c r="K500" i="7"/>
  <c r="L500" i="7" s="1"/>
  <c r="K501" i="7"/>
  <c r="L501" i="7" s="1"/>
  <c r="K502" i="7"/>
  <c r="L502" i="7" s="1"/>
  <c r="K503" i="7"/>
  <c r="L503" i="7" s="1"/>
  <c r="K504" i="7"/>
  <c r="L504" i="7" s="1"/>
  <c r="K505" i="7"/>
  <c r="L505" i="7" s="1"/>
  <c r="K506" i="7"/>
  <c r="L506" i="7" s="1"/>
  <c r="K507" i="7"/>
  <c r="L507" i="7" s="1"/>
  <c r="K508" i="7"/>
  <c r="L508" i="7" s="1"/>
  <c r="K509" i="7"/>
  <c r="L509" i="7" s="1"/>
  <c r="K510" i="7"/>
  <c r="L510" i="7" s="1"/>
  <c r="K511" i="7"/>
  <c r="L511" i="7" s="1"/>
  <c r="K512" i="7"/>
  <c r="L512" i="7" s="1"/>
  <c r="K513" i="7"/>
  <c r="L513" i="7" s="1"/>
  <c r="K514" i="7"/>
  <c r="L514" i="7" s="1"/>
  <c r="K515" i="7"/>
  <c r="L515" i="7" s="1"/>
  <c r="K516" i="7"/>
  <c r="L516" i="7" s="1"/>
  <c r="K517" i="7"/>
  <c r="L517" i="7" s="1"/>
  <c r="K518" i="7"/>
  <c r="L518" i="7" s="1"/>
  <c r="K519" i="7"/>
  <c r="L519" i="7" s="1"/>
  <c r="K520" i="7"/>
  <c r="L520" i="7" s="1"/>
  <c r="K521" i="7"/>
  <c r="L521" i="7" s="1"/>
  <c r="K522" i="7"/>
  <c r="L522" i="7" s="1"/>
  <c r="K523" i="7"/>
  <c r="L523" i="7" s="1"/>
  <c r="K524" i="7"/>
  <c r="L524" i="7" s="1"/>
  <c r="K525" i="7"/>
  <c r="L525" i="7" s="1"/>
  <c r="K526" i="7"/>
  <c r="L526" i="7" s="1"/>
  <c r="K527" i="7"/>
  <c r="L527" i="7" s="1"/>
  <c r="K528" i="7"/>
  <c r="L528" i="7" s="1"/>
  <c r="K529" i="7"/>
  <c r="L529" i="7" s="1"/>
  <c r="K530" i="7"/>
  <c r="L530" i="7" s="1"/>
  <c r="K531" i="7"/>
  <c r="L531" i="7" s="1"/>
  <c r="K532" i="7"/>
  <c r="L532" i="7" s="1"/>
  <c r="K533" i="7"/>
  <c r="L533" i="7" s="1"/>
  <c r="K534" i="7"/>
  <c r="L534" i="7" s="1"/>
  <c r="K535" i="7"/>
  <c r="L535" i="7" s="1"/>
  <c r="K536" i="7"/>
  <c r="L536" i="7" s="1"/>
  <c r="K537" i="7"/>
  <c r="L537" i="7" s="1"/>
  <c r="K538" i="7"/>
  <c r="L538" i="7" s="1"/>
  <c r="K539" i="7"/>
  <c r="L539" i="7" s="1"/>
  <c r="K540" i="7"/>
  <c r="L540" i="7" s="1"/>
  <c r="K541" i="7"/>
  <c r="L541" i="7" s="1"/>
  <c r="K542" i="7"/>
  <c r="L542" i="7" s="1"/>
  <c r="K543" i="7"/>
  <c r="L543" i="7" s="1"/>
  <c r="K544" i="7"/>
  <c r="L544" i="7" s="1"/>
  <c r="K545" i="7"/>
  <c r="L545" i="7" s="1"/>
  <c r="K546" i="7"/>
  <c r="L546" i="7" s="1"/>
  <c r="K547" i="7"/>
  <c r="L547" i="7" s="1"/>
  <c r="K548" i="7"/>
  <c r="L548" i="7" s="1"/>
  <c r="K549" i="7"/>
  <c r="L549" i="7" s="1"/>
  <c r="K550" i="7"/>
  <c r="L550" i="7" s="1"/>
  <c r="K551" i="7"/>
  <c r="L551" i="7" s="1"/>
  <c r="K552" i="7"/>
  <c r="L552" i="7" s="1"/>
  <c r="K553" i="7"/>
  <c r="L553" i="7" s="1"/>
  <c r="K554" i="7"/>
  <c r="L554" i="7" s="1"/>
  <c r="K555" i="7"/>
  <c r="L555" i="7" s="1"/>
  <c r="K556" i="7"/>
  <c r="L556" i="7" s="1"/>
  <c r="K557" i="7"/>
  <c r="L557" i="7" s="1"/>
  <c r="K558" i="7"/>
  <c r="L558" i="7" s="1"/>
  <c r="K559" i="7"/>
  <c r="L559" i="7" s="1"/>
  <c r="K560" i="7"/>
  <c r="L560" i="7" s="1"/>
  <c r="K561" i="7"/>
  <c r="L561" i="7" s="1"/>
  <c r="K562" i="7"/>
  <c r="L562" i="7" s="1"/>
  <c r="K563" i="7"/>
  <c r="L563" i="7" s="1"/>
  <c r="K564" i="7"/>
  <c r="L564" i="7" s="1"/>
  <c r="K565" i="7"/>
  <c r="L565" i="7" s="1"/>
  <c r="K566" i="7"/>
  <c r="L566" i="7" s="1"/>
  <c r="K567" i="7"/>
  <c r="L567" i="7" s="1"/>
  <c r="K568" i="7"/>
  <c r="L568" i="7" s="1"/>
  <c r="K569" i="7"/>
  <c r="L569" i="7" s="1"/>
  <c r="K570" i="7"/>
  <c r="L570" i="7" s="1"/>
  <c r="K571" i="7"/>
  <c r="L571" i="7" s="1"/>
  <c r="K572" i="7"/>
  <c r="L572" i="7" s="1"/>
  <c r="K573" i="7"/>
  <c r="L573" i="7" s="1"/>
  <c r="K574" i="7"/>
  <c r="L574" i="7" s="1"/>
  <c r="K575" i="7"/>
  <c r="L575" i="7" s="1"/>
  <c r="K576" i="7"/>
  <c r="L576" i="7" s="1"/>
  <c r="K577" i="7"/>
  <c r="L577" i="7" s="1"/>
  <c r="K578" i="7"/>
  <c r="L578" i="7" s="1"/>
  <c r="K579" i="7"/>
  <c r="L579" i="7" s="1"/>
  <c r="K580" i="7"/>
  <c r="L580" i="7" s="1"/>
  <c r="K581" i="7"/>
  <c r="L581" i="7" s="1"/>
  <c r="K582" i="7"/>
  <c r="L582" i="7" s="1"/>
  <c r="K583" i="7"/>
  <c r="L583" i="7" s="1"/>
  <c r="K584" i="7"/>
  <c r="L584" i="7" s="1"/>
  <c r="K585" i="7"/>
  <c r="L585" i="7" s="1"/>
  <c r="K586" i="7"/>
  <c r="L586" i="7" s="1"/>
  <c r="K587" i="7"/>
  <c r="L587" i="7" s="1"/>
  <c r="K588" i="7"/>
  <c r="L588" i="7" s="1"/>
  <c r="K589" i="7"/>
  <c r="L589" i="7" s="1"/>
  <c r="K590" i="7"/>
  <c r="L590" i="7" s="1"/>
  <c r="K591" i="7"/>
  <c r="L591" i="7" s="1"/>
  <c r="K592" i="7"/>
  <c r="L592" i="7" s="1"/>
  <c r="K593" i="7"/>
  <c r="L593" i="7" s="1"/>
  <c r="K594" i="7"/>
  <c r="L594" i="7" s="1"/>
  <c r="K595" i="7"/>
  <c r="L595" i="7" s="1"/>
  <c r="K596" i="7"/>
  <c r="L596" i="7" s="1"/>
  <c r="K597" i="7"/>
  <c r="L597" i="7" s="1"/>
  <c r="K598" i="7"/>
  <c r="L598" i="7" s="1"/>
  <c r="K599" i="7"/>
  <c r="L599" i="7" s="1"/>
  <c r="K600" i="7"/>
  <c r="L600" i="7" s="1"/>
  <c r="K601" i="7"/>
  <c r="L601" i="7" s="1"/>
  <c r="K602" i="7"/>
  <c r="L602" i="7" s="1"/>
  <c r="K603" i="7"/>
  <c r="L603" i="7" s="1"/>
  <c r="K604" i="7"/>
  <c r="L604" i="7" s="1"/>
  <c r="K605" i="7"/>
  <c r="L605" i="7" s="1"/>
  <c r="K606" i="7"/>
  <c r="L606" i="7" s="1"/>
  <c r="K607" i="7"/>
  <c r="L607" i="7" s="1"/>
  <c r="K608" i="7"/>
  <c r="L608" i="7" s="1"/>
  <c r="K609" i="7"/>
  <c r="L609" i="7" s="1"/>
  <c r="K610" i="7"/>
  <c r="L610" i="7" s="1"/>
  <c r="K611" i="7"/>
  <c r="L611" i="7" s="1"/>
  <c r="K612" i="7"/>
  <c r="L612" i="7" s="1"/>
  <c r="K613" i="7"/>
  <c r="L613" i="7" s="1"/>
  <c r="K614" i="7"/>
  <c r="L614" i="7" s="1"/>
  <c r="K615" i="7"/>
  <c r="L615" i="7" s="1"/>
  <c r="K616" i="7"/>
  <c r="L616" i="7" s="1"/>
  <c r="K617" i="7"/>
  <c r="L617" i="7" s="1"/>
  <c r="K618" i="7"/>
  <c r="L618" i="7" s="1"/>
  <c r="K619" i="7"/>
  <c r="L619" i="7" s="1"/>
  <c r="K620" i="7"/>
  <c r="L620" i="7" s="1"/>
  <c r="K621" i="7"/>
  <c r="L621" i="7" s="1"/>
  <c r="K622" i="7"/>
  <c r="L622" i="7" s="1"/>
  <c r="K623" i="7"/>
  <c r="L623" i="7" s="1"/>
  <c r="K624" i="7"/>
  <c r="L624" i="7" s="1"/>
  <c r="K625" i="7"/>
  <c r="L625" i="7" s="1"/>
  <c r="K626" i="7"/>
  <c r="L626" i="7" s="1"/>
  <c r="K627" i="7"/>
  <c r="L627" i="7" s="1"/>
  <c r="K628" i="7"/>
  <c r="L628" i="7" s="1"/>
  <c r="K629" i="7"/>
  <c r="L629" i="7" s="1"/>
  <c r="K630" i="7"/>
  <c r="L630" i="7" s="1"/>
  <c r="K631" i="7"/>
  <c r="L631" i="7" s="1"/>
  <c r="K632" i="7"/>
  <c r="L632" i="7" s="1"/>
  <c r="K633" i="7"/>
  <c r="L633" i="7" s="1"/>
  <c r="K634" i="7"/>
  <c r="L634" i="7" s="1"/>
  <c r="K635" i="7"/>
  <c r="L635" i="7" s="1"/>
  <c r="K636" i="7"/>
  <c r="L636" i="7" s="1"/>
  <c r="K637" i="7"/>
  <c r="L637" i="7" s="1"/>
  <c r="K638" i="7"/>
  <c r="L638" i="7" s="1"/>
  <c r="K639" i="7"/>
  <c r="L639" i="7" s="1"/>
  <c r="K640" i="7"/>
  <c r="L640" i="7" s="1"/>
  <c r="K641" i="7"/>
  <c r="L641" i="7" s="1"/>
  <c r="K642" i="7"/>
  <c r="L642" i="7" s="1"/>
  <c r="K643" i="7"/>
  <c r="L643" i="7" s="1"/>
  <c r="K644" i="7"/>
  <c r="L644" i="7" s="1"/>
  <c r="K645" i="7"/>
  <c r="L645" i="7" s="1"/>
  <c r="K646" i="7"/>
  <c r="L646" i="7" s="1"/>
  <c r="K647" i="7"/>
  <c r="L647" i="7" s="1"/>
  <c r="K648" i="7"/>
  <c r="L648" i="7" s="1"/>
  <c r="K649" i="7"/>
  <c r="L649" i="7" s="1"/>
  <c r="K650" i="7"/>
  <c r="L650" i="7" s="1"/>
  <c r="K651" i="7"/>
  <c r="L651" i="7" s="1"/>
  <c r="K652" i="7"/>
  <c r="L652" i="7" s="1"/>
  <c r="K653" i="7"/>
  <c r="L653" i="7" s="1"/>
  <c r="K654" i="7"/>
  <c r="L654" i="7" s="1"/>
  <c r="K655" i="7"/>
  <c r="L655" i="7" s="1"/>
  <c r="K656" i="7"/>
  <c r="L656" i="7" s="1"/>
  <c r="K657" i="7"/>
  <c r="L657" i="7" s="1"/>
  <c r="K658" i="7"/>
  <c r="L658" i="7" s="1"/>
  <c r="K659" i="7"/>
  <c r="L659" i="7" s="1"/>
  <c r="K660" i="7"/>
  <c r="L660" i="7" s="1"/>
  <c r="K661" i="7"/>
  <c r="L661" i="7" s="1"/>
  <c r="K662" i="7"/>
  <c r="L662" i="7" s="1"/>
  <c r="K663" i="7"/>
  <c r="L663" i="7" s="1"/>
  <c r="K664" i="7"/>
  <c r="L664" i="7" s="1"/>
  <c r="K665" i="7"/>
  <c r="L665" i="7" s="1"/>
  <c r="K666" i="7"/>
  <c r="L666" i="7" s="1"/>
  <c r="K667" i="7"/>
  <c r="L667" i="7" s="1"/>
  <c r="K668" i="7"/>
  <c r="L668" i="7" s="1"/>
  <c r="K669" i="7"/>
  <c r="L669" i="7" s="1"/>
  <c r="K670" i="7"/>
  <c r="L670" i="7" s="1"/>
  <c r="K671" i="7"/>
  <c r="L671" i="7" s="1"/>
  <c r="K672" i="7"/>
  <c r="L672" i="7" s="1"/>
  <c r="K673" i="7"/>
  <c r="L673" i="7" s="1"/>
  <c r="K674" i="7"/>
  <c r="L674" i="7" s="1"/>
  <c r="K675" i="7"/>
  <c r="L675" i="7" s="1"/>
  <c r="K676" i="7"/>
  <c r="L676" i="7" s="1"/>
  <c r="K677" i="7"/>
  <c r="L677" i="7" s="1"/>
  <c r="K678" i="7"/>
  <c r="L678" i="7" s="1"/>
  <c r="K679" i="7"/>
  <c r="L679" i="7" s="1"/>
  <c r="K680" i="7"/>
  <c r="L680" i="7" s="1"/>
  <c r="K681" i="7"/>
  <c r="L681" i="7" s="1"/>
  <c r="K682" i="7"/>
  <c r="L682" i="7" s="1"/>
  <c r="K683" i="7"/>
  <c r="L683" i="7" s="1"/>
  <c r="K684" i="7"/>
  <c r="L684" i="7" s="1"/>
  <c r="K685" i="7"/>
  <c r="L685" i="7" s="1"/>
  <c r="K686" i="7"/>
  <c r="L686" i="7" s="1"/>
  <c r="K687" i="7"/>
  <c r="L687" i="7" s="1"/>
  <c r="K688" i="7"/>
  <c r="L688" i="7" s="1"/>
  <c r="K689" i="7"/>
  <c r="L689" i="7" s="1"/>
  <c r="K690" i="7"/>
  <c r="L690" i="7" s="1"/>
  <c r="K691" i="7"/>
  <c r="L691" i="7" s="1"/>
  <c r="K692" i="7"/>
  <c r="L692" i="7" s="1"/>
  <c r="K693" i="7"/>
  <c r="L693" i="7" s="1"/>
  <c r="K694" i="7"/>
  <c r="L694" i="7" s="1"/>
  <c r="K695" i="7"/>
  <c r="L695" i="7" s="1"/>
  <c r="K696" i="7"/>
  <c r="L696" i="7" s="1"/>
  <c r="K697" i="7"/>
  <c r="L697" i="7" s="1"/>
  <c r="K698" i="7"/>
  <c r="L698" i="7" s="1"/>
  <c r="K699" i="7"/>
  <c r="L699" i="7" s="1"/>
  <c r="K700" i="7"/>
  <c r="L700" i="7" s="1"/>
  <c r="K701" i="7"/>
  <c r="L701" i="7" s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J701" i="7" l="1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</calcChain>
</file>

<file path=xl/sharedStrings.xml><?xml version="1.0" encoding="utf-8"?>
<sst xmlns="http://schemas.openxmlformats.org/spreadsheetml/2006/main" count="1454" uniqueCount="28">
  <si>
    <t>Customer ID</t>
  </si>
  <si>
    <t>Order ID</t>
  </si>
  <si>
    <t>Product</t>
  </si>
  <si>
    <t>Units Sold</t>
  </si>
  <si>
    <t>Date</t>
  </si>
  <si>
    <t>Day</t>
  </si>
  <si>
    <t>Month</t>
  </si>
  <si>
    <t>Year</t>
  </si>
  <si>
    <t>Revenue</t>
  </si>
  <si>
    <t>Cost</t>
  </si>
  <si>
    <t>Chocolate Chip</t>
  </si>
  <si>
    <t>Fortune Cookie</t>
  </si>
  <si>
    <t>Oatmeal Raisin</t>
  </si>
  <si>
    <t>Snickerdoodle</t>
  </si>
  <si>
    <t>Sugar</t>
  </si>
  <si>
    <t>White Chocolate Macadamia Nut</t>
  </si>
  <si>
    <t>revenue/unit</t>
  </si>
  <si>
    <t>Profit/unit</t>
  </si>
  <si>
    <t>Net Profit</t>
  </si>
  <si>
    <t>Profit %</t>
  </si>
  <si>
    <t>Cost/unit</t>
  </si>
  <si>
    <t>Sum of Revenue</t>
  </si>
  <si>
    <t>Sum of Cost</t>
  </si>
  <si>
    <t>2019 Total</t>
  </si>
  <si>
    <t>2020 Total</t>
  </si>
  <si>
    <t>Grand Total</t>
  </si>
  <si>
    <t>Sum of Units Sold</t>
  </si>
  <si>
    <t>Sum of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</si>
</sst>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8" formatCode="_([$$-409]* #,##0_);_([$$-409]* \(#,##0\);_([$$-409]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pivotButton="1" applyNumberFormat="1"/>
    <xf numFmtId="168" fontId="0" fillId="0" borderId="0" xfId="0" applyNumberFormat="1"/>
  </cellXfs>
  <cellStyles count="2">
    <cellStyle name="Comma" xfId="1" builtinId="3"/>
    <cellStyle name="Normal" xfId="0" builtinId="0"/>
  </cellStyles>
  <dxfs count="44">
    <dxf>
      <numFmt numFmtId="0" formatCode="General"/>
    </dxf>
    <dxf>
      <numFmt numFmtId="2" formatCode="0.00"/>
    </dxf>
    <dxf>
      <numFmt numFmtId="0" formatCode="General"/>
    </dxf>
    <dxf>
      <numFmt numFmtId="14" formatCode="0.00%"/>
    </dxf>
    <dxf>
      <numFmt numFmtId="0" formatCode="General"/>
    </dxf>
    <dxf>
      <numFmt numFmtId="19" formatCode="m/d/yyyy"/>
    </dxf>
    <dxf>
      <numFmt numFmtId="164" formatCode="_(* #,##0_);_(* \(#,##0\);_(* &quot;-&quot;??_);_(@_)"/>
    </dxf>
    <dxf>
      <numFmt numFmtId="19" formatCode="m/d/yyyy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8" formatCode="_([$$-409]* #,##0_);_([$$-409]* \(#,##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_([$$-409]* #,##0_);_([$$-409]* \(#,##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[Orders.xlsx]Table1_figures by date!PivotTable1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Cookie Revenue &amp; Cost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'Table1_figures by date'!$C$20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'Table1_figures by date'!$A$21:$B$39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'Table1_figures by date'!$C$21:$C$39</c:f>
              <c:numCache>
                <c:formatCode>_([$$-409]* #,##0_);_([$$-409]* \(#,##0\);_([$$-409]* "-"??_);_(@_)</c:formatCode>
                <c:ptCount val="16"/>
                <c:pt idx="0">
                  <c:v>212076</c:v>
                </c:pt>
                <c:pt idx="1">
                  <c:v>386395</c:v>
                </c:pt>
                <c:pt idx="2">
                  <c:v>272112</c:v>
                </c:pt>
                <c:pt idx="3">
                  <c:v>232566</c:v>
                </c:pt>
                <c:pt idx="4">
                  <c:v>291833.5</c:v>
                </c:pt>
                <c:pt idx="5">
                  <c:v>231925</c:v>
                </c:pt>
                <c:pt idx="6">
                  <c:v>219071</c:v>
                </c:pt>
                <c:pt idx="7">
                  <c:v>333354.5</c:v>
                </c:pt>
                <c:pt idx="8">
                  <c:v>215866</c:v>
                </c:pt>
                <c:pt idx="9">
                  <c:v>426848</c:v>
                </c:pt>
                <c:pt idx="10">
                  <c:v>296147.5</c:v>
                </c:pt>
                <c:pt idx="11">
                  <c:v>261755</c:v>
                </c:pt>
                <c:pt idx="12">
                  <c:v>238774</c:v>
                </c:pt>
                <c:pt idx="13">
                  <c:v>434637</c:v>
                </c:pt>
                <c:pt idx="14">
                  <c:v>217879</c:v>
                </c:pt>
                <c:pt idx="15">
                  <c:v>419011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7-42A3-98EE-DBFAAFEAE89A}"/>
            </c:ext>
          </c:extLst>
        </c:ser>
        <c:ser>
          <c:idx val="1"/>
          <c:order val="1"/>
          <c:tx>
            <c:strRef>
              <c:f>'Table1_figures by date'!$D$20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'Table1_figures by date'!$A$21:$B$39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'Table1_figures by date'!$D$21:$D$39</c:f>
              <c:numCache>
                <c:formatCode>_([$$-409]* #,##0_);_([$$-409]* \(#,##0\);_([$$-409]* "-"??_);_(@_)</c:formatCode>
                <c:ptCount val="16"/>
                <c:pt idx="0">
                  <c:v>89249.450000000012</c:v>
                </c:pt>
                <c:pt idx="1">
                  <c:v>163401.79999999999</c:v>
                </c:pt>
                <c:pt idx="2">
                  <c:v>114230.04999999999</c:v>
                </c:pt>
                <c:pt idx="3">
                  <c:v>97497.549999999988</c:v>
                </c:pt>
                <c:pt idx="4">
                  <c:v>122837.90000000001</c:v>
                </c:pt>
                <c:pt idx="5">
                  <c:v>97578.25</c:v>
                </c:pt>
                <c:pt idx="6">
                  <c:v>92071.95</c:v>
                </c:pt>
                <c:pt idx="7">
                  <c:v>139620.27500000002</c:v>
                </c:pt>
                <c:pt idx="8">
                  <c:v>91499.15</c:v>
                </c:pt>
                <c:pt idx="9">
                  <c:v>180253.25</c:v>
                </c:pt>
                <c:pt idx="10">
                  <c:v>125398.09999999999</c:v>
                </c:pt>
                <c:pt idx="11">
                  <c:v>110260.5</c:v>
                </c:pt>
                <c:pt idx="12">
                  <c:v>100156.25</c:v>
                </c:pt>
                <c:pt idx="13">
                  <c:v>182717.15000000002</c:v>
                </c:pt>
                <c:pt idx="14">
                  <c:v>91395.549999999988</c:v>
                </c:pt>
                <c:pt idx="15">
                  <c:v>175018.94999999998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7-42A3-98EE-DBFAAFEAE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267208"/>
        <c:axId val="1305271816"/>
      </c:barChart>
      <c:catAx>
        <c:axId val="13052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271816"/>
        <c:crosses val="autoZero"/>
        <c:auto val="1"/>
        <c:lblAlgn val="ctr"/>
        <c:lblOffset val="100"/>
        <c:noMultiLvlLbl val="0"/>
      </c:catAx>
      <c:valAx>
        <c:axId val="13052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2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[Orders.xlsx]Table1_figures by date!PivotTable1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Cost &amp; Revenue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'Table1_figures by date'!$C$20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'Table1_figures by date'!$A$21:$B$39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'Table1_figures by date'!$C$21:$C$39</c:f>
              <c:numCache>
                <c:formatCode>_([$$-409]* #,##0_);_([$$-409]* \(#,##0\);_([$$-409]* "-"??_);_(@_)</c:formatCode>
                <c:ptCount val="16"/>
                <c:pt idx="0">
                  <c:v>212076</c:v>
                </c:pt>
                <c:pt idx="1">
                  <c:v>386395</c:v>
                </c:pt>
                <c:pt idx="2">
                  <c:v>272112</c:v>
                </c:pt>
                <c:pt idx="3">
                  <c:v>232566</c:v>
                </c:pt>
                <c:pt idx="4">
                  <c:v>291833.5</c:v>
                </c:pt>
                <c:pt idx="5">
                  <c:v>231925</c:v>
                </c:pt>
                <c:pt idx="6">
                  <c:v>219071</c:v>
                </c:pt>
                <c:pt idx="7">
                  <c:v>333354.5</c:v>
                </c:pt>
                <c:pt idx="8">
                  <c:v>215866</c:v>
                </c:pt>
                <c:pt idx="9">
                  <c:v>426848</c:v>
                </c:pt>
                <c:pt idx="10">
                  <c:v>296147.5</c:v>
                </c:pt>
                <c:pt idx="11">
                  <c:v>261755</c:v>
                </c:pt>
                <c:pt idx="12">
                  <c:v>238774</c:v>
                </c:pt>
                <c:pt idx="13">
                  <c:v>434637</c:v>
                </c:pt>
                <c:pt idx="14">
                  <c:v>217879</c:v>
                </c:pt>
                <c:pt idx="15">
                  <c:v>419011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5-4E5C-AF1B-681CF0821619}"/>
            </c:ext>
          </c:extLst>
        </c:ser>
        <c:ser>
          <c:idx val="1"/>
          <c:order val="1"/>
          <c:tx>
            <c:strRef>
              <c:f>'Table1_figures by date'!$D$20</c:f>
              <c:strCache>
                <c:ptCount val="1"/>
                <c:pt idx="0">
                  <c:v>Sum of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'Table1_figures by date'!$A$21:$B$39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'Table1_figures by date'!$D$21:$D$39</c:f>
              <c:numCache>
                <c:formatCode>_([$$-409]* #,##0_);_([$$-409]* \(#,##0\);_([$$-409]* "-"??_);_(@_)</c:formatCode>
                <c:ptCount val="16"/>
                <c:pt idx="0">
                  <c:v>89249.450000000012</c:v>
                </c:pt>
                <c:pt idx="1">
                  <c:v>163401.79999999999</c:v>
                </c:pt>
                <c:pt idx="2">
                  <c:v>114230.04999999999</c:v>
                </c:pt>
                <c:pt idx="3">
                  <c:v>97497.549999999988</c:v>
                </c:pt>
                <c:pt idx="4">
                  <c:v>122837.90000000001</c:v>
                </c:pt>
                <c:pt idx="5">
                  <c:v>97578.25</c:v>
                </c:pt>
                <c:pt idx="6">
                  <c:v>92071.95</c:v>
                </c:pt>
                <c:pt idx="7">
                  <c:v>139620.27500000002</c:v>
                </c:pt>
                <c:pt idx="8">
                  <c:v>91499.15</c:v>
                </c:pt>
                <c:pt idx="9">
                  <c:v>180253.25</c:v>
                </c:pt>
                <c:pt idx="10">
                  <c:v>125398.09999999999</c:v>
                </c:pt>
                <c:pt idx="11">
                  <c:v>110260.5</c:v>
                </c:pt>
                <c:pt idx="12">
                  <c:v>100156.25</c:v>
                </c:pt>
                <c:pt idx="13">
                  <c:v>182717.15000000002</c:v>
                </c:pt>
                <c:pt idx="14">
                  <c:v>91395.549999999988</c:v>
                </c:pt>
                <c:pt idx="15">
                  <c:v>175018.94999999998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C5-4E5C-AF1B-681CF082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229511"/>
        <c:axId val="517056519"/>
      </c:lineChart>
      <c:catAx>
        <c:axId val="44622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56519"/>
        <c:crosses val="autoZero"/>
        <c:auto val="1"/>
        <c:lblAlgn val="ctr"/>
        <c:lblOffset val="100"/>
        <c:noMultiLvlLbl val="0"/>
      </c:catAx>
      <c:valAx>
        <c:axId val="517056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2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[Orders.xlsx]Table2_Units sold - customer_id!PivotTable1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'Table2_Units sold - customer_id'!$B$3:$B$4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customer_id'!$B$5:$B$10</c:f>
              <c:numCache>
                <c:formatCode>General</c:formatCode>
                <c:ptCount val="5"/>
                <c:pt idx="0">
                  <c:v>117840</c:v>
                </c:pt>
                <c:pt idx="1">
                  <c:v>65439</c:v>
                </c:pt>
                <c:pt idx="2">
                  <c:v>63108</c:v>
                </c:pt>
                <c:pt idx="3">
                  <c:v>62859.5</c:v>
                </c:pt>
                <c:pt idx="4">
                  <c:v>28993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4-4174-8EF1-C8458F7772BB}"/>
            </c:ext>
          </c:extLst>
        </c:ser>
        <c:ser>
          <c:idx val="1"/>
          <c:order val="1"/>
          <c:tx>
            <c:strRef>
              <c:f>'Table2_Units sold - customer_id'!$C$3:$C$4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customer_id'!$C$5:$C$10</c:f>
              <c:numCache>
                <c:formatCode>General</c:formatCode>
                <c:ptCount val="5"/>
                <c:pt idx="0">
                  <c:v>25466.5</c:v>
                </c:pt>
                <c:pt idx="1">
                  <c:v>24023</c:v>
                </c:pt>
                <c:pt idx="2">
                  <c:v>56687.5</c:v>
                </c:pt>
                <c:pt idx="3">
                  <c:v>38490.5</c:v>
                </c:pt>
                <c:pt idx="4">
                  <c:v>24115.5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FC4-4174-8EF1-C8458F7772BB}"/>
            </c:ext>
          </c:extLst>
        </c:ser>
        <c:ser>
          <c:idx val="2"/>
          <c:order val="2"/>
          <c:tx>
            <c:strRef>
              <c:f>'Table2_Units sold - customer_id'!$D$3:$D$4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customer_id'!$D$5:$D$10</c:f>
              <c:numCache>
                <c:formatCode>General</c:formatCode>
                <c:ptCount val="5"/>
                <c:pt idx="0">
                  <c:v>37275.5</c:v>
                </c:pt>
                <c:pt idx="1">
                  <c:v>46917</c:v>
                </c:pt>
                <c:pt idx="2">
                  <c:v>33900</c:v>
                </c:pt>
                <c:pt idx="3">
                  <c:v>19058</c:v>
                </c:pt>
                <c:pt idx="4">
                  <c:v>25274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FC4-4174-8EF1-C8458F7772BB}"/>
            </c:ext>
          </c:extLst>
        </c:ser>
        <c:ser>
          <c:idx val="3"/>
          <c:order val="3"/>
          <c:tx>
            <c:strRef>
              <c:f>'Table2_Units sold - customer_id'!$E$3:$E$4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customer_id'!$E$5:$E$10</c:f>
              <c:numCache>
                <c:formatCode>General</c:formatCode>
                <c:ptCount val="5"/>
                <c:pt idx="0">
                  <c:v>74448</c:v>
                </c:pt>
                <c:pt idx="1">
                  <c:v>39988.5</c:v>
                </c:pt>
                <c:pt idx="2">
                  <c:v>19368.5</c:v>
                </c:pt>
                <c:pt idx="3">
                  <c:v>15355</c:v>
                </c:pt>
                <c:pt idx="4">
                  <c:v>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FC4-4174-8EF1-C8458F7772BB}"/>
            </c:ext>
          </c:extLst>
        </c:ser>
        <c:ser>
          <c:idx val="4"/>
          <c:order val="4"/>
          <c:tx>
            <c:strRef>
              <c:f>'Table2_Units sold - customer_id'!$F$3:$F$4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customer_id'!$F$5:$F$10</c:f>
              <c:numCache>
                <c:formatCode>General</c:formatCode>
                <c:ptCount val="5"/>
                <c:pt idx="0">
                  <c:v>42962.5</c:v>
                </c:pt>
                <c:pt idx="1">
                  <c:v>44718.5</c:v>
                </c:pt>
                <c:pt idx="2">
                  <c:v>24758</c:v>
                </c:pt>
                <c:pt idx="3">
                  <c:v>23290.5</c:v>
                </c:pt>
                <c:pt idx="4">
                  <c:v>18468.5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FC4-4174-8EF1-C8458F7772BB}"/>
            </c:ext>
          </c:extLst>
        </c:ser>
        <c:ser>
          <c:idx val="5"/>
          <c:order val="5"/>
          <c:tx>
            <c:strRef>
              <c:f>'Table2_Units sold - customer_id'!$G$3:$G$4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customer_id'!$G$5:$G$10</c:f>
              <c:numCache>
                <c:formatCode>General</c:formatCode>
                <c:ptCount val="5"/>
                <c:pt idx="0">
                  <c:v>31684</c:v>
                </c:pt>
                <c:pt idx="1">
                  <c:v>45804</c:v>
                </c:pt>
                <c:pt idx="2">
                  <c:v>23201</c:v>
                </c:pt>
                <c:pt idx="3">
                  <c:v>20394</c:v>
                </c:pt>
                <c:pt idx="4">
                  <c:v>25763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FC4-4174-8EF1-C8458F7772B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657352"/>
        <c:axId val="426209799"/>
      </c:barChart>
      <c:catAx>
        <c:axId val="130565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09799"/>
        <c:crosses val="autoZero"/>
        <c:auto val="1"/>
        <c:lblAlgn val="ctr"/>
        <c:lblOffset val="100"/>
        <c:noMultiLvlLbl val="0"/>
      </c:catAx>
      <c:valAx>
        <c:axId val="42620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[Orders.xlsx]Table2_Units sold - customer_id!PivotTable1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'Table2_Units sold - customer_id'!$B$3:$B$4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customer_id'!$B$5:$B$10</c:f>
              <c:numCache>
                <c:formatCode>General</c:formatCode>
                <c:ptCount val="5"/>
                <c:pt idx="0">
                  <c:v>117840</c:v>
                </c:pt>
                <c:pt idx="1">
                  <c:v>65439</c:v>
                </c:pt>
                <c:pt idx="2">
                  <c:v>63108</c:v>
                </c:pt>
                <c:pt idx="3">
                  <c:v>62859.5</c:v>
                </c:pt>
                <c:pt idx="4">
                  <c:v>28993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1-4786-B107-8FF92624FE60}"/>
            </c:ext>
          </c:extLst>
        </c:ser>
        <c:ser>
          <c:idx val="1"/>
          <c:order val="1"/>
          <c:tx>
            <c:strRef>
              <c:f>'Table2_Units sold - customer_id'!$C$3:$C$4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customer_id'!$C$5:$C$10</c:f>
              <c:numCache>
                <c:formatCode>General</c:formatCode>
                <c:ptCount val="5"/>
                <c:pt idx="0">
                  <c:v>25466.5</c:v>
                </c:pt>
                <c:pt idx="1">
                  <c:v>24023</c:v>
                </c:pt>
                <c:pt idx="2">
                  <c:v>56687.5</c:v>
                </c:pt>
                <c:pt idx="3">
                  <c:v>38490.5</c:v>
                </c:pt>
                <c:pt idx="4">
                  <c:v>24115.5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62-4EA2-8BD2-EF30CFEC8AE5}"/>
            </c:ext>
          </c:extLst>
        </c:ser>
        <c:ser>
          <c:idx val="2"/>
          <c:order val="2"/>
          <c:tx>
            <c:strRef>
              <c:f>'Table2_Units sold - customer_id'!$D$3:$D$4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customer_id'!$D$5:$D$10</c:f>
              <c:numCache>
                <c:formatCode>General</c:formatCode>
                <c:ptCount val="5"/>
                <c:pt idx="0">
                  <c:v>37275.5</c:v>
                </c:pt>
                <c:pt idx="1">
                  <c:v>46917</c:v>
                </c:pt>
                <c:pt idx="2">
                  <c:v>33900</c:v>
                </c:pt>
                <c:pt idx="3">
                  <c:v>19058</c:v>
                </c:pt>
                <c:pt idx="4">
                  <c:v>25274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62-4EA2-8BD2-EF30CFEC8AE5}"/>
            </c:ext>
          </c:extLst>
        </c:ser>
        <c:ser>
          <c:idx val="3"/>
          <c:order val="3"/>
          <c:tx>
            <c:strRef>
              <c:f>'Table2_Units sold - customer_id'!$E$3:$E$4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customer_id'!$E$5:$E$10</c:f>
              <c:numCache>
                <c:formatCode>General</c:formatCode>
                <c:ptCount val="5"/>
                <c:pt idx="0">
                  <c:v>74448</c:v>
                </c:pt>
                <c:pt idx="1">
                  <c:v>39988.5</c:v>
                </c:pt>
                <c:pt idx="2">
                  <c:v>19368.5</c:v>
                </c:pt>
                <c:pt idx="3">
                  <c:v>15355</c:v>
                </c:pt>
                <c:pt idx="4">
                  <c:v>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62-4EA2-8BD2-EF30CFEC8AE5}"/>
            </c:ext>
          </c:extLst>
        </c:ser>
        <c:ser>
          <c:idx val="4"/>
          <c:order val="4"/>
          <c:tx>
            <c:strRef>
              <c:f>'Table2_Units sold - customer_id'!$F$3:$F$4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customer_id'!$F$5:$F$10</c:f>
              <c:numCache>
                <c:formatCode>General</c:formatCode>
                <c:ptCount val="5"/>
                <c:pt idx="0">
                  <c:v>42962.5</c:v>
                </c:pt>
                <c:pt idx="1">
                  <c:v>44718.5</c:v>
                </c:pt>
                <c:pt idx="2">
                  <c:v>24758</c:v>
                </c:pt>
                <c:pt idx="3">
                  <c:v>23290.5</c:v>
                </c:pt>
                <c:pt idx="4">
                  <c:v>18468.5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62-4EA2-8BD2-EF30CFEC8AE5}"/>
            </c:ext>
          </c:extLst>
        </c:ser>
        <c:ser>
          <c:idx val="5"/>
          <c:order val="5"/>
          <c:tx>
            <c:strRef>
              <c:f>'Table2_Units sold - customer_id'!$G$3:$G$4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'Table2_Units sold - customer_id'!$A$5:$A$10</c:f>
              <c:strCach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strCache>
            </c:strRef>
          </c:cat>
          <c:val>
            <c:numRef>
              <c:f>'Table2_Units sold - customer_id'!$G$5:$G$10</c:f>
              <c:numCache>
                <c:formatCode>General</c:formatCode>
                <c:ptCount val="5"/>
                <c:pt idx="0">
                  <c:v>31684</c:v>
                </c:pt>
                <c:pt idx="1">
                  <c:v>45804</c:v>
                </c:pt>
                <c:pt idx="2">
                  <c:v>23201</c:v>
                </c:pt>
                <c:pt idx="3">
                  <c:v>20394</c:v>
                </c:pt>
                <c:pt idx="4">
                  <c:v>25763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62-4EA2-8BD2-EF30CFEC8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657352"/>
        <c:axId val="426209799"/>
      </c:barChart>
      <c:catAx>
        <c:axId val="130565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09799"/>
        <c:crosses val="autoZero"/>
        <c:auto val="1"/>
        <c:lblAlgn val="ctr"/>
        <c:lblOffset val="100"/>
        <c:noMultiLvlLbl val="0"/>
      </c:catAx>
      <c:valAx>
        <c:axId val="42620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65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[Orders.xlsx]Table1_figures by date!PivotTable1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Cost &amp; Revenue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'Table1_figures by date'!$C$20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'Table1_figures by date'!$A$21:$B$39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'Table1_figures by date'!$C$21:$C$39</c:f>
              <c:numCache>
                <c:formatCode>_([$$-409]* #,##0_);_([$$-409]* \(#,##0\);_([$$-409]* "-"??_);_(@_)</c:formatCode>
                <c:ptCount val="16"/>
                <c:pt idx="0">
                  <c:v>212076</c:v>
                </c:pt>
                <c:pt idx="1">
                  <c:v>386395</c:v>
                </c:pt>
                <c:pt idx="2">
                  <c:v>272112</c:v>
                </c:pt>
                <c:pt idx="3">
                  <c:v>232566</c:v>
                </c:pt>
                <c:pt idx="4">
                  <c:v>291833.5</c:v>
                </c:pt>
                <c:pt idx="5">
                  <c:v>231925</c:v>
                </c:pt>
                <c:pt idx="6">
                  <c:v>219071</c:v>
                </c:pt>
                <c:pt idx="7">
                  <c:v>333354.5</c:v>
                </c:pt>
                <c:pt idx="8">
                  <c:v>215866</c:v>
                </c:pt>
                <c:pt idx="9">
                  <c:v>426848</c:v>
                </c:pt>
                <c:pt idx="10">
                  <c:v>296147.5</c:v>
                </c:pt>
                <c:pt idx="11">
                  <c:v>261755</c:v>
                </c:pt>
                <c:pt idx="12">
                  <c:v>238774</c:v>
                </c:pt>
                <c:pt idx="13">
                  <c:v>434637</c:v>
                </c:pt>
                <c:pt idx="14">
                  <c:v>217879</c:v>
                </c:pt>
                <c:pt idx="15">
                  <c:v>419011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7-46E7-9564-19AF8868815A}"/>
            </c:ext>
          </c:extLst>
        </c:ser>
        <c:ser>
          <c:idx val="1"/>
          <c:order val="1"/>
          <c:tx>
            <c:strRef>
              <c:f>'Table1_figures by date'!$D$20</c:f>
              <c:strCache>
                <c:ptCount val="1"/>
                <c:pt idx="0">
                  <c:v>Sum of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'Table1_figures by date'!$A$21:$B$39</c:f>
              <c:multiLvlStrCache>
                <c:ptCount val="16"/>
                <c:lvl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</c:lvl>
              </c:multiLvlStrCache>
            </c:multiLvlStrRef>
          </c:cat>
          <c:val>
            <c:numRef>
              <c:f>'Table1_figures by date'!$D$21:$D$39</c:f>
              <c:numCache>
                <c:formatCode>_([$$-409]* #,##0_);_([$$-409]* \(#,##0\);_([$$-409]* "-"??_);_(@_)</c:formatCode>
                <c:ptCount val="16"/>
                <c:pt idx="0">
                  <c:v>89249.450000000012</c:v>
                </c:pt>
                <c:pt idx="1">
                  <c:v>163401.79999999999</c:v>
                </c:pt>
                <c:pt idx="2">
                  <c:v>114230.04999999999</c:v>
                </c:pt>
                <c:pt idx="3">
                  <c:v>97497.549999999988</c:v>
                </c:pt>
                <c:pt idx="4">
                  <c:v>122837.90000000001</c:v>
                </c:pt>
                <c:pt idx="5">
                  <c:v>97578.25</c:v>
                </c:pt>
                <c:pt idx="6">
                  <c:v>92071.95</c:v>
                </c:pt>
                <c:pt idx="7">
                  <c:v>139620.27500000002</c:v>
                </c:pt>
                <c:pt idx="8">
                  <c:v>91499.15</c:v>
                </c:pt>
                <c:pt idx="9">
                  <c:v>180253.25</c:v>
                </c:pt>
                <c:pt idx="10">
                  <c:v>125398.09999999999</c:v>
                </c:pt>
                <c:pt idx="11">
                  <c:v>110260.5</c:v>
                </c:pt>
                <c:pt idx="12">
                  <c:v>100156.25</c:v>
                </c:pt>
                <c:pt idx="13">
                  <c:v>182717.15000000002</c:v>
                </c:pt>
                <c:pt idx="14">
                  <c:v>91395.549999999988</c:v>
                </c:pt>
                <c:pt idx="15">
                  <c:v>175018.94999999998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7-46E7-9564-19AF88688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229511"/>
        <c:axId val="517056519"/>
      </c:lineChart>
      <c:catAx>
        <c:axId val="44622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56519"/>
        <c:crosses val="autoZero"/>
        <c:auto val="1"/>
        <c:lblAlgn val="ctr"/>
        <c:lblOffset val="100"/>
        <c:noMultiLvlLbl val="0"/>
      </c:catAx>
      <c:valAx>
        <c:axId val="517056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2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per Cookie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Chocolate Chip</c:v>
                </c:pt>
                <c:pt idx="1">
                  <c:v>White Chocolate Macadamia Nut</c:v>
                </c:pt>
                <c:pt idx="2">
                  <c:v>Oatmeal Raisin</c:v>
                </c:pt>
                <c:pt idx="3">
                  <c:v>Snickerdoodle</c:v>
                </c:pt>
                <c:pt idx="4">
                  <c:v>Sugar</c:v>
                </c:pt>
                <c:pt idx="5">
                  <c:v>Fortune Cookie</c:v>
                </c:pt>
              </c:strCache>
            </c:strRef>
          </c:cat>
          <c:val>
            <c:numRef>
              <c:f>Sheet1!$B$5:$B$11</c:f>
              <c:numCache>
                <c:formatCode>_([$$-409]* #,##0_);_([$$-409]* \(#,##0\);_([$$-409]* "-"??_);_(@_)</c:formatCode>
                <c:ptCount val="6"/>
                <c:pt idx="0">
                  <c:v>246741</c:v>
                </c:pt>
                <c:pt idx="1">
                  <c:v>128280.75</c:v>
                </c:pt>
                <c:pt idx="2">
                  <c:v>94326.399999999994</c:v>
                </c:pt>
                <c:pt idx="3">
                  <c:v>78510</c:v>
                </c:pt>
                <c:pt idx="4">
                  <c:v>72772</c:v>
                </c:pt>
                <c:pt idx="5">
                  <c:v>18140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2-4DC9-BF2E-DF527435B09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Chocolate Chip</c:v>
                </c:pt>
                <c:pt idx="1">
                  <c:v>White Chocolate Macadamia Nut</c:v>
                </c:pt>
                <c:pt idx="2">
                  <c:v>Oatmeal Raisin</c:v>
                </c:pt>
                <c:pt idx="3">
                  <c:v>Snickerdoodle</c:v>
                </c:pt>
                <c:pt idx="4">
                  <c:v>Sugar</c:v>
                </c:pt>
                <c:pt idx="5">
                  <c:v>Fortune Cookie</c:v>
                </c:pt>
              </c:strCache>
            </c:strRef>
          </c:cat>
          <c:val>
            <c:numRef>
              <c:f>Sheet1!$C$5:$C$11</c:f>
              <c:numCache>
                <c:formatCode>_([$$-409]* #,##0_);_([$$-409]* \(#,##0\);_([$$-409]* "-"??_);_(@_)</c:formatCode>
                <c:ptCount val="6"/>
                <c:pt idx="0">
                  <c:v>767977.5</c:v>
                </c:pt>
                <c:pt idx="1">
                  <c:v>399598.875</c:v>
                </c:pt>
                <c:pt idx="2">
                  <c:v>340555.59999999992</c:v>
                </c:pt>
                <c:pt idx="3">
                  <c:v>288605</c:v>
                </c:pt>
                <c:pt idx="4">
                  <c:v>222598.25</c:v>
                </c:pt>
                <c:pt idx="5">
                  <c:v>58959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8-48A9-8664-C99AA6B5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066120"/>
        <c:axId val="1196889096"/>
      </c:barChart>
      <c:catAx>
        <c:axId val="106306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89096"/>
        <c:crosses val="autoZero"/>
        <c:auto val="1"/>
        <c:lblAlgn val="ctr"/>
        <c:lblOffset val="100"/>
        <c:noMultiLvlLbl val="0"/>
      </c:catAx>
      <c:valAx>
        <c:axId val="119688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6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104775</xdr:rowOff>
    </xdr:from>
    <xdr:to>
      <xdr:col>13</xdr:col>
      <xdr:colOff>409575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61509-51FC-0695-11B5-ACB74097E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11</xdr:row>
      <xdr:rowOff>133350</xdr:rowOff>
    </xdr:from>
    <xdr:to>
      <xdr:col>20</xdr:col>
      <xdr:colOff>295275</xdr:colOff>
      <xdr:row>26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AEF68F-FDF0-CB24-5478-02F8E9D85F71}"/>
            </a:ext>
            <a:ext uri="{147F2762-F138-4A5C-976F-8EAC2B608ADB}">
              <a16:predDERef xmlns:a16="http://schemas.microsoft.com/office/drawing/2014/main" pred="{1DA61509-51FC-0695-11B5-ACB74097E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266700</xdr:colOff>
      <xdr:row>14</xdr:row>
      <xdr:rowOff>104775</xdr:rowOff>
    </xdr:from>
    <xdr:to>
      <xdr:col>13</xdr:col>
      <xdr:colOff>409575</xdr:colOff>
      <xdr:row>21</xdr:row>
      <xdr:rowOff>142875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26889F29-3C1E-75B4-F89D-BC0E61D2E4BC}"/>
                </a:ext>
                <a:ext uri="{147F2762-F138-4A5C-976F-8EAC2B608ADB}">
                  <a16:predDERef xmlns:a16="http://schemas.microsoft.com/office/drawing/2014/main" pred="{F4AEF68F-FDF0-CB24-5478-02F8E9D85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4925" y="27717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13</xdr:row>
      <xdr:rowOff>57150</xdr:rowOff>
    </xdr:from>
    <xdr:to>
      <xdr:col>5</xdr:col>
      <xdr:colOff>581025</xdr:colOff>
      <xdr:row>27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A04584-E4E8-5227-A1D5-BAFB9B55F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5</xdr:row>
      <xdr:rowOff>47625</xdr:rowOff>
    </xdr:from>
    <xdr:to>
      <xdr:col>10</xdr:col>
      <xdr:colOff>323850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5889C-3D56-40A0-A79B-A5EF8986308A}"/>
            </a:ext>
            <a:ext uri="{147F2762-F138-4A5C-976F-8EAC2B608ADB}">
              <a16:predDERef xmlns:a16="http://schemas.microsoft.com/office/drawing/2014/main" pred="{23A04584-E4E8-5227-A1D5-BAFB9B55F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19</xdr:col>
      <xdr:colOff>571500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234A31-793E-FDEB-50B2-F18C16AABFE8}"/>
            </a:ext>
            <a:ext uri="{147F2762-F138-4A5C-976F-8EAC2B608ADB}">
              <a16:predDERef xmlns:a16="http://schemas.microsoft.com/office/drawing/2014/main" pred="{32D5889C-3D56-40A0-A79B-A5EF8986308A}"/>
            </a:ext>
          </a:extLst>
        </xdr:cNvPr>
        <xdr:cNvSpPr/>
      </xdr:nvSpPr>
      <xdr:spPr>
        <a:xfrm>
          <a:off x="0" y="0"/>
          <a:ext cx="1215390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4800" b="0" i="0" u="none" strike="noStrike">
              <a:solidFill>
                <a:schemeClr val="lt1"/>
              </a:solidFill>
              <a:latin typeface="STXingkai" panose="02010800040101010101" pitchFamily="2" charset="-122"/>
              <a:ea typeface="STXingkai" panose="02010800040101010101" pitchFamily="2" charset="-122"/>
            </a:rPr>
            <a:t>Cookies Performance Dashboard</a:t>
          </a:r>
        </a:p>
      </xdr:txBody>
    </xdr:sp>
    <xdr:clientData/>
  </xdr:twoCellAnchor>
  <xdr:twoCellAnchor>
    <xdr:from>
      <xdr:col>10</xdr:col>
      <xdr:colOff>352425</xdr:colOff>
      <xdr:row>5</xdr:row>
      <xdr:rowOff>38100</xdr:rowOff>
    </xdr:from>
    <xdr:to>
      <xdr:col>19</xdr:col>
      <xdr:colOff>561975</xdr:colOff>
      <xdr:row>19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845876-00D5-4D58-BBB8-DBDF7CDEA192}"/>
            </a:ext>
            <a:ext uri="{147F2762-F138-4A5C-976F-8EAC2B608ADB}">
              <a16:predDERef xmlns:a16="http://schemas.microsoft.com/office/drawing/2014/main" pred="{5D234A31-793E-FDEB-50B2-F18C16AAB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742950</xdr:colOff>
      <xdr:row>20</xdr:row>
      <xdr:rowOff>57150</xdr:rowOff>
    </xdr:from>
    <xdr:to>
      <xdr:col>19</xdr:col>
      <xdr:colOff>581025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15C1D6-BFB0-3334-1484-0F1C3B23AE6D}"/>
            </a:ext>
            <a:ext uri="{147F2762-F138-4A5C-976F-8EAC2B608ADB}">
              <a16:predDERef xmlns:a16="http://schemas.microsoft.com/office/drawing/2014/main" pred="{78845876-00D5-4D58-BBB8-DBDF7CDEA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28575</xdr:colOff>
      <xdr:row>5</xdr:row>
      <xdr:rowOff>76200</xdr:rowOff>
    </xdr:from>
    <xdr:to>
      <xdr:col>2</xdr:col>
      <xdr:colOff>581025</xdr:colOff>
      <xdr:row>9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Year">
              <a:extLst>
                <a:ext uri="{FF2B5EF4-FFF2-40B4-BE49-F238E27FC236}">
                  <a16:creationId xmlns:a16="http://schemas.microsoft.com/office/drawing/2014/main" id="{EE002A40-DC35-28A5-8653-32FC52A8DBFB}"/>
                </a:ext>
                <a:ext uri="{147F2762-F138-4A5C-976F-8EAC2B608ADB}">
                  <a16:predDERef xmlns:a16="http://schemas.microsoft.com/office/drawing/2014/main" pred="{F115C1D6-BFB0-3334-1484-0F1C3B23AE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028700"/>
              <a:ext cx="1828800" cy="75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9</xdr:row>
      <xdr:rowOff>123825</xdr:rowOff>
    </xdr:from>
    <xdr:to>
      <xdr:col>2</xdr:col>
      <xdr:colOff>600075</xdr:colOff>
      <xdr:row>16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Month">
              <a:extLst>
                <a:ext uri="{FF2B5EF4-FFF2-40B4-BE49-F238E27FC236}">
                  <a16:creationId xmlns:a16="http://schemas.microsoft.com/office/drawing/2014/main" id="{85A1FE4F-CEBD-4375-5D64-A336708E6794}"/>
                </a:ext>
                <a:ext uri="{147F2762-F138-4A5C-976F-8EAC2B608ADB}">
                  <a16:predDERef xmlns:a16="http://schemas.microsoft.com/office/drawing/2014/main" pred="{EE002A40-DC35-28A5-8653-32FC52A8D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838325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16</xdr:row>
      <xdr:rowOff>66675</xdr:rowOff>
    </xdr:from>
    <xdr:to>
      <xdr:col>2</xdr:col>
      <xdr:colOff>609600</xdr:colOff>
      <xdr:row>23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ustomer ID">
              <a:extLst>
                <a:ext uri="{FF2B5EF4-FFF2-40B4-BE49-F238E27FC236}">
                  <a16:creationId xmlns:a16="http://schemas.microsoft.com/office/drawing/2014/main" id="{49A9D42D-E4A0-FD21-3D25-3EF49E083C38}"/>
                </a:ext>
                <a:ext uri="{147F2762-F138-4A5C-976F-8EAC2B608ADB}">
                  <a16:predDERef xmlns:a16="http://schemas.microsoft.com/office/drawing/2014/main" pred="{85A1FE4F-CEBD-4375-5D64-A336708E6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3114675"/>
              <a:ext cx="18288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23</xdr:row>
      <xdr:rowOff>66675</xdr:rowOff>
    </xdr:from>
    <xdr:to>
      <xdr:col>2</xdr:col>
      <xdr:colOff>600075</xdr:colOff>
      <xdr:row>30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roduct">
              <a:extLst>
                <a:ext uri="{FF2B5EF4-FFF2-40B4-BE49-F238E27FC236}">
                  <a16:creationId xmlns:a16="http://schemas.microsoft.com/office/drawing/2014/main" id="{A9351F37-0E22-E029-BB53-E9E25E7D0D53}"/>
                </a:ext>
                <a:ext uri="{147F2762-F138-4A5C-976F-8EAC2B608ADB}">
                  <a16:predDERef xmlns:a16="http://schemas.microsoft.com/office/drawing/2014/main" pred="{49A9D42D-E4A0-FD21-3D25-3EF49E083C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4448175"/>
              <a:ext cx="18288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809653472221" createdVersion="8" refreshedVersion="8" minRefreshableVersion="3" recordCount="700" xr:uid="{E9F16C33-33E8-4A61-B0CA-2289A093F530}">
  <cacheSource type="worksheet">
    <worksheetSource name="Table32"/>
  </cacheSource>
  <cacheFields count="15">
    <cacheField name="Customer ID" numFmtId="0">
      <sharedItems containsSemiMixedTypes="0" containsString="0" containsNumber="1" containsInteger="1" minValue="1" maxValue="5" count="5">
        <n v="1"/>
        <n v="5"/>
        <n v="2"/>
        <n v="3"/>
        <n v="4"/>
      </sharedItems>
    </cacheField>
    <cacheField name="Order ID" numFmtId="0">
      <sharedItems containsSemiMixedTypes="0" containsString="0" containsNumber="1" containsInteger="1" minValue="100553" maxValue="899743"/>
    </cacheField>
    <cacheField name="Product" numFmtId="0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Units Sold" numFmtId="164">
      <sharedItems containsSemiMixedTypes="0" containsString="0" containsNumber="1" minValue="200" maxValue="4492.5"/>
    </cacheField>
    <cacheField name="Date" numFmtId="14">
      <sharedItems containsSemiMixedTypes="0" containsNonDate="0" containsDate="1" containsString="0" minDate="2019-09-01T00:00:00" maxDate="2020-12-02T00:00:00" count="16"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</cacheField>
    <cacheField name="Day" numFmtId="0">
      <sharedItems containsSemiMixedTypes="0" containsString="0" containsNumber="1" containsInteger="1" minValue="1" maxValue="1"/>
    </cacheField>
    <cacheField name="Month" numFmtId="0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Year" numFmtId="0">
      <sharedItems containsSemiMixedTypes="0" containsString="0" containsNumber="1" containsInteger="1" minValue="2019" maxValue="2020" count="2">
        <n v="2019"/>
        <n v="2020"/>
      </sharedItems>
    </cacheField>
    <cacheField name="revenue/unit" numFmtId="164">
      <sharedItems containsSemiMixedTypes="0" containsString="0" containsNumber="1" containsInteger="1" minValue="1" maxValue="6"/>
    </cacheField>
    <cacheField name="Profit/unit" numFmtId="164">
      <sharedItems containsSemiMixedTypes="0" containsString="0" containsNumber="1" minValue="0.5" maxValue="3.25"/>
    </cacheField>
    <cacheField name="Net Profit" numFmtId="0">
      <sharedItems containsSemiMixedTypes="0" containsString="0" containsNumber="1" minValue="100" maxValue="13477.5"/>
    </cacheField>
    <cacheField name="Profit %" numFmtId="10">
      <sharedItems containsSemiMixedTypes="0" containsString="0" containsNumber="1" minValue="1" maxValue="1.6666666666666667"/>
    </cacheField>
    <cacheField name="Revenue" numFmtId="0">
      <sharedItems containsSemiMixedTypes="0" containsString="0" containsNumber="1" minValue="200" maxValue="23985"/>
    </cacheField>
    <cacheField name="Cost/unit" numFmtId="2">
      <sharedItems containsSemiMixedTypes="0" containsString="0" containsNumber="1" minValue="0.5" maxValue="2.75"/>
    </cacheField>
    <cacheField name="Cost" numFmtId="0">
      <sharedItems containsSemiMixedTypes="0" containsString="0" containsNumber="1" minValue="100" maxValue="10993.125"/>
    </cacheField>
  </cacheFields>
  <extLst>
    <ext xmlns:x14="http://schemas.microsoft.com/office/spreadsheetml/2009/9/main" uri="{725AE2AE-9491-48be-B2B4-4EB974FC3084}">
      <x14:pivotCacheDefinition pivotCacheId="8600008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n v="738711"/>
    <x v="0"/>
    <n v="549"/>
    <x v="0"/>
    <n v="1"/>
    <x v="0"/>
    <x v="0"/>
    <n v="5"/>
    <n v="3"/>
    <n v="1647"/>
    <n v="1.5"/>
    <n v="2745"/>
    <n v="2"/>
    <n v="1098"/>
  </r>
  <r>
    <x v="1"/>
    <n v="505339"/>
    <x v="0"/>
    <n v="788"/>
    <x v="0"/>
    <n v="1"/>
    <x v="0"/>
    <x v="0"/>
    <n v="5"/>
    <n v="3"/>
    <n v="2364"/>
    <n v="1.5"/>
    <n v="3940"/>
    <n v="2"/>
    <n v="1576"/>
  </r>
  <r>
    <x v="0"/>
    <n v="141665"/>
    <x v="0"/>
    <n v="1760"/>
    <x v="0"/>
    <n v="1"/>
    <x v="0"/>
    <x v="0"/>
    <n v="5"/>
    <n v="3"/>
    <n v="5280"/>
    <n v="1.5"/>
    <n v="8800"/>
    <n v="2"/>
    <n v="3520"/>
  </r>
  <r>
    <x v="2"/>
    <n v="678731"/>
    <x v="0"/>
    <n v="2349"/>
    <x v="0"/>
    <n v="1"/>
    <x v="0"/>
    <x v="0"/>
    <n v="5"/>
    <n v="3"/>
    <n v="7047"/>
    <n v="1.5"/>
    <n v="11745"/>
    <n v="2"/>
    <n v="4698"/>
  </r>
  <r>
    <x v="0"/>
    <n v="142979"/>
    <x v="0"/>
    <n v="1031"/>
    <x v="0"/>
    <n v="1"/>
    <x v="0"/>
    <x v="0"/>
    <n v="5"/>
    <n v="3"/>
    <n v="3093"/>
    <n v="1.5"/>
    <n v="5155"/>
    <n v="2"/>
    <n v="2062"/>
  </r>
  <r>
    <x v="1"/>
    <n v="854455"/>
    <x v="0"/>
    <n v="2931"/>
    <x v="0"/>
    <n v="1"/>
    <x v="0"/>
    <x v="0"/>
    <n v="5"/>
    <n v="3"/>
    <n v="8793"/>
    <n v="1.5"/>
    <n v="14655"/>
    <n v="2"/>
    <n v="5862"/>
  </r>
  <r>
    <x v="2"/>
    <n v="898591"/>
    <x v="0"/>
    <n v="1123"/>
    <x v="0"/>
    <n v="1"/>
    <x v="0"/>
    <x v="0"/>
    <n v="5"/>
    <n v="3"/>
    <n v="3369"/>
    <n v="1.5"/>
    <n v="5615"/>
    <n v="2"/>
    <n v="2246"/>
  </r>
  <r>
    <x v="3"/>
    <n v="231476"/>
    <x v="0"/>
    <n v="2409"/>
    <x v="0"/>
    <n v="1"/>
    <x v="0"/>
    <x v="0"/>
    <n v="5"/>
    <n v="3"/>
    <n v="7227"/>
    <n v="1.5"/>
    <n v="12045"/>
    <n v="2"/>
    <n v="4818"/>
  </r>
  <r>
    <x v="3"/>
    <n v="607709"/>
    <x v="0"/>
    <n v="380"/>
    <x v="0"/>
    <n v="1"/>
    <x v="0"/>
    <x v="0"/>
    <n v="5"/>
    <n v="3"/>
    <n v="1140"/>
    <n v="1.5"/>
    <n v="1900"/>
    <n v="2"/>
    <n v="760"/>
  </r>
  <r>
    <x v="3"/>
    <n v="864409"/>
    <x v="0"/>
    <n v="2470"/>
    <x v="0"/>
    <n v="1"/>
    <x v="0"/>
    <x v="0"/>
    <n v="5"/>
    <n v="3"/>
    <n v="7410"/>
    <n v="1.5"/>
    <n v="12350"/>
    <n v="2"/>
    <n v="4940"/>
  </r>
  <r>
    <x v="3"/>
    <n v="539666"/>
    <x v="1"/>
    <n v="2498"/>
    <x v="0"/>
    <n v="1"/>
    <x v="0"/>
    <x v="0"/>
    <n v="1"/>
    <n v="0.5"/>
    <n v="1249"/>
    <n v="1"/>
    <n v="2498"/>
    <n v="0.5"/>
    <n v="1249"/>
  </r>
  <r>
    <x v="1"/>
    <n v="806978"/>
    <x v="1"/>
    <n v="1797"/>
    <x v="0"/>
    <n v="1"/>
    <x v="0"/>
    <x v="0"/>
    <n v="1"/>
    <n v="0.5"/>
    <n v="898.5"/>
    <n v="1"/>
    <n v="1797"/>
    <n v="0.5"/>
    <n v="898.5"/>
  </r>
  <r>
    <x v="4"/>
    <n v="594945"/>
    <x v="1"/>
    <n v="720"/>
    <x v="0"/>
    <n v="1"/>
    <x v="0"/>
    <x v="0"/>
    <n v="1"/>
    <n v="0.5"/>
    <n v="360"/>
    <n v="1"/>
    <n v="720"/>
    <n v="0.5"/>
    <n v="360"/>
  </r>
  <r>
    <x v="3"/>
    <n v="781308"/>
    <x v="1"/>
    <n v="1283"/>
    <x v="0"/>
    <n v="1"/>
    <x v="0"/>
    <x v="0"/>
    <n v="1"/>
    <n v="0.5"/>
    <n v="641.5"/>
    <n v="1"/>
    <n v="1283"/>
    <n v="0.5"/>
    <n v="641.5"/>
  </r>
  <r>
    <x v="2"/>
    <n v="503591"/>
    <x v="1"/>
    <n v="322"/>
    <x v="0"/>
    <n v="1"/>
    <x v="0"/>
    <x v="0"/>
    <n v="1"/>
    <n v="0.5"/>
    <n v="161"/>
    <n v="1"/>
    <n v="322"/>
    <n v="0.5"/>
    <n v="161"/>
  </r>
  <r>
    <x v="4"/>
    <n v="304546"/>
    <x v="2"/>
    <n v="1989"/>
    <x v="0"/>
    <n v="1"/>
    <x v="0"/>
    <x v="0"/>
    <n v="5"/>
    <n v="2.8"/>
    <n v="5569.2"/>
    <n v="1.2727272727272727"/>
    <n v="9945"/>
    <n v="2.2000000000000002"/>
    <n v="4375.8"/>
  </r>
  <r>
    <x v="3"/>
    <n v="766207"/>
    <x v="2"/>
    <n v="994"/>
    <x v="0"/>
    <n v="1"/>
    <x v="0"/>
    <x v="0"/>
    <n v="5"/>
    <n v="2.8"/>
    <n v="2783.2"/>
    <n v="1.2727272727272725"/>
    <n v="4970"/>
    <n v="2.2000000000000002"/>
    <n v="2186.8000000000002"/>
  </r>
  <r>
    <x v="2"/>
    <n v="550622"/>
    <x v="2"/>
    <n v="947"/>
    <x v="0"/>
    <n v="1"/>
    <x v="0"/>
    <x v="0"/>
    <n v="5"/>
    <n v="2.8"/>
    <n v="2651.6"/>
    <n v="1.2727272727272727"/>
    <n v="4735"/>
    <n v="2.2000000000000002"/>
    <n v="2083.4"/>
  </r>
  <r>
    <x v="4"/>
    <n v="410583"/>
    <x v="2"/>
    <n v="2761"/>
    <x v="0"/>
    <n v="1"/>
    <x v="0"/>
    <x v="0"/>
    <n v="5"/>
    <n v="2.8"/>
    <n v="7730.7999999999993"/>
    <n v="1.2727272727272725"/>
    <n v="13805"/>
    <n v="2.2000000000000002"/>
    <n v="6074.2000000000007"/>
  </r>
  <r>
    <x v="3"/>
    <n v="616987"/>
    <x v="3"/>
    <n v="330"/>
    <x v="0"/>
    <n v="1"/>
    <x v="0"/>
    <x v="0"/>
    <n v="4"/>
    <n v="2.5"/>
    <n v="825"/>
    <n v="1.6666666666666667"/>
    <n v="1320"/>
    <n v="1.5"/>
    <n v="495"/>
  </r>
  <r>
    <x v="4"/>
    <n v="119027"/>
    <x v="3"/>
    <n v="1834"/>
    <x v="0"/>
    <n v="1"/>
    <x v="0"/>
    <x v="0"/>
    <n v="4"/>
    <n v="2.5"/>
    <n v="4585"/>
    <n v="1.6666666666666667"/>
    <n v="7336"/>
    <n v="1.5"/>
    <n v="2751"/>
  </r>
  <r>
    <x v="3"/>
    <n v="105566"/>
    <x v="3"/>
    <n v="2416"/>
    <x v="0"/>
    <n v="1"/>
    <x v="0"/>
    <x v="0"/>
    <n v="4"/>
    <n v="2.5"/>
    <n v="6040"/>
    <n v="1.6666666666666667"/>
    <n v="9664"/>
    <n v="1.5"/>
    <n v="3624"/>
  </r>
  <r>
    <x v="3"/>
    <n v="676544"/>
    <x v="3"/>
    <n v="442"/>
    <x v="0"/>
    <n v="1"/>
    <x v="0"/>
    <x v="0"/>
    <n v="4"/>
    <n v="2.5"/>
    <n v="1105"/>
    <n v="1.6666666666666667"/>
    <n v="1768"/>
    <n v="1.5"/>
    <n v="663"/>
  </r>
  <r>
    <x v="0"/>
    <n v="285799"/>
    <x v="3"/>
    <n v="1023"/>
    <x v="0"/>
    <n v="1"/>
    <x v="0"/>
    <x v="0"/>
    <n v="4"/>
    <n v="2.5"/>
    <n v="2557.5"/>
    <n v="1.6666666666666667"/>
    <n v="4092"/>
    <n v="1.5"/>
    <n v="1534.5"/>
  </r>
  <r>
    <x v="0"/>
    <n v="587301"/>
    <x v="4"/>
    <n v="1527"/>
    <x v="0"/>
    <n v="1"/>
    <x v="0"/>
    <x v="0"/>
    <n v="3"/>
    <n v="1.75"/>
    <n v="2672.25"/>
    <n v="1.4"/>
    <n v="4581"/>
    <n v="1.25"/>
    <n v="1908.75"/>
  </r>
  <r>
    <x v="0"/>
    <n v="581507"/>
    <x v="4"/>
    <n v="349"/>
    <x v="0"/>
    <n v="1"/>
    <x v="0"/>
    <x v="0"/>
    <n v="3"/>
    <n v="1.75"/>
    <n v="610.75"/>
    <n v="1.4"/>
    <n v="1047"/>
    <n v="1.25"/>
    <n v="436.25"/>
  </r>
  <r>
    <x v="1"/>
    <n v="899556"/>
    <x v="4"/>
    <n v="2215"/>
    <x v="0"/>
    <n v="1"/>
    <x v="0"/>
    <x v="0"/>
    <n v="3"/>
    <n v="1.75"/>
    <n v="3876.25"/>
    <n v="1.4"/>
    <n v="6645"/>
    <n v="1.25"/>
    <n v="2768.75"/>
  </r>
  <r>
    <x v="0"/>
    <n v="594463"/>
    <x v="4"/>
    <n v="2234"/>
    <x v="0"/>
    <n v="1"/>
    <x v="0"/>
    <x v="0"/>
    <n v="3"/>
    <n v="1.75"/>
    <n v="3909.5"/>
    <n v="1.4"/>
    <n v="6702"/>
    <n v="1.25"/>
    <n v="2792.5"/>
  </r>
  <r>
    <x v="1"/>
    <n v="808356"/>
    <x v="4"/>
    <n v="1005"/>
    <x v="0"/>
    <n v="1"/>
    <x v="0"/>
    <x v="0"/>
    <n v="3"/>
    <n v="1.75"/>
    <n v="1758.75"/>
    <n v="1.4"/>
    <n v="3015"/>
    <n v="1.25"/>
    <n v="1256.25"/>
  </r>
  <r>
    <x v="4"/>
    <n v="362208"/>
    <x v="4"/>
    <n v="623"/>
    <x v="0"/>
    <n v="1"/>
    <x v="0"/>
    <x v="0"/>
    <n v="3"/>
    <n v="1.75"/>
    <n v="1090.25"/>
    <n v="1.4"/>
    <n v="1869"/>
    <n v="1.25"/>
    <n v="778.75"/>
  </r>
  <r>
    <x v="4"/>
    <n v="455927"/>
    <x v="5"/>
    <n v="736"/>
    <x v="0"/>
    <n v="1"/>
    <x v="0"/>
    <x v="0"/>
    <n v="6"/>
    <n v="3.25"/>
    <n v="2392"/>
    <n v="1.1818181818181819"/>
    <n v="4416"/>
    <n v="2.75"/>
    <n v="2024"/>
  </r>
  <r>
    <x v="4"/>
    <n v="558048"/>
    <x v="5"/>
    <n v="2646"/>
    <x v="0"/>
    <n v="1"/>
    <x v="0"/>
    <x v="0"/>
    <n v="6"/>
    <n v="3.25"/>
    <n v="8599.5"/>
    <n v="1.1818181818181819"/>
    <n v="15876"/>
    <n v="2.75"/>
    <n v="7276.5"/>
  </r>
  <r>
    <x v="0"/>
    <n v="494115"/>
    <x v="5"/>
    <n v="2805"/>
    <x v="0"/>
    <n v="1"/>
    <x v="0"/>
    <x v="0"/>
    <n v="6"/>
    <n v="3.25"/>
    <n v="9116.25"/>
    <n v="1.1818181818181819"/>
    <n v="16830"/>
    <n v="2.75"/>
    <n v="7713.75"/>
  </r>
  <r>
    <x v="4"/>
    <n v="573970"/>
    <x v="5"/>
    <n v="655"/>
    <x v="0"/>
    <n v="1"/>
    <x v="0"/>
    <x v="0"/>
    <n v="6"/>
    <n v="3.25"/>
    <n v="2128.75"/>
    <n v="1.1818181818181819"/>
    <n v="3930"/>
    <n v="2.75"/>
    <n v="1801.25"/>
  </r>
  <r>
    <x v="3"/>
    <n v="899629"/>
    <x v="5"/>
    <n v="660"/>
    <x v="0"/>
    <n v="1"/>
    <x v="0"/>
    <x v="0"/>
    <n v="6"/>
    <n v="3.25"/>
    <n v="2145"/>
    <n v="1.1818181818181819"/>
    <n v="3960"/>
    <n v="2.75"/>
    <n v="1815"/>
  </r>
  <r>
    <x v="1"/>
    <n v="238791"/>
    <x v="0"/>
    <n v="766"/>
    <x v="1"/>
    <n v="1"/>
    <x v="1"/>
    <x v="0"/>
    <n v="5"/>
    <n v="3"/>
    <n v="2298"/>
    <n v="1.5"/>
    <n v="3830"/>
    <n v="2"/>
    <n v="1532"/>
  </r>
  <r>
    <x v="4"/>
    <n v="875012"/>
    <x v="0"/>
    <n v="809"/>
    <x v="1"/>
    <n v="1"/>
    <x v="1"/>
    <x v="0"/>
    <n v="5"/>
    <n v="3"/>
    <n v="2427"/>
    <n v="1.5"/>
    <n v="4045"/>
    <n v="2"/>
    <n v="1618"/>
  </r>
  <r>
    <x v="3"/>
    <n v="505159"/>
    <x v="0"/>
    <n v="2145"/>
    <x v="1"/>
    <n v="1"/>
    <x v="1"/>
    <x v="0"/>
    <n v="5"/>
    <n v="3"/>
    <n v="6435"/>
    <n v="1.5"/>
    <n v="10725"/>
    <n v="2"/>
    <n v="4290"/>
  </r>
  <r>
    <x v="0"/>
    <n v="675075"/>
    <x v="0"/>
    <n v="1945"/>
    <x v="1"/>
    <n v="1"/>
    <x v="1"/>
    <x v="0"/>
    <n v="5"/>
    <n v="3"/>
    <n v="5835"/>
    <n v="1.5"/>
    <n v="9725"/>
    <n v="2"/>
    <n v="3890"/>
  </r>
  <r>
    <x v="0"/>
    <n v="707858"/>
    <x v="0"/>
    <n v="671"/>
    <x v="1"/>
    <n v="1"/>
    <x v="1"/>
    <x v="0"/>
    <n v="5"/>
    <n v="3"/>
    <n v="2013"/>
    <n v="1.5"/>
    <n v="3355"/>
    <n v="2"/>
    <n v="1342"/>
  </r>
  <r>
    <x v="3"/>
    <n v="538134"/>
    <x v="0"/>
    <n v="1514"/>
    <x v="1"/>
    <n v="1"/>
    <x v="1"/>
    <x v="0"/>
    <n v="5"/>
    <n v="3"/>
    <n v="4542"/>
    <n v="1.5"/>
    <n v="7570"/>
    <n v="2"/>
    <n v="3028"/>
  </r>
  <r>
    <x v="3"/>
    <n v="697895"/>
    <x v="0"/>
    <n v="1228"/>
    <x v="1"/>
    <n v="1"/>
    <x v="1"/>
    <x v="0"/>
    <n v="5"/>
    <n v="3"/>
    <n v="3684"/>
    <n v="1.5"/>
    <n v="6140"/>
    <n v="2"/>
    <n v="2456"/>
  </r>
  <r>
    <x v="3"/>
    <n v="691331"/>
    <x v="0"/>
    <n v="1389"/>
    <x v="1"/>
    <n v="1"/>
    <x v="1"/>
    <x v="0"/>
    <n v="5"/>
    <n v="3"/>
    <n v="4167"/>
    <n v="1.5"/>
    <n v="6945"/>
    <n v="2"/>
    <n v="2778"/>
  </r>
  <r>
    <x v="0"/>
    <n v="567484"/>
    <x v="0"/>
    <n v="704"/>
    <x v="1"/>
    <n v="1"/>
    <x v="1"/>
    <x v="0"/>
    <n v="5"/>
    <n v="3"/>
    <n v="2112"/>
    <n v="1.5"/>
    <n v="3520"/>
    <n v="2"/>
    <n v="1408"/>
  </r>
  <r>
    <x v="3"/>
    <n v="176592"/>
    <x v="0"/>
    <n v="2299"/>
    <x v="1"/>
    <n v="1"/>
    <x v="1"/>
    <x v="0"/>
    <n v="5"/>
    <n v="3"/>
    <n v="6897"/>
    <n v="1.5"/>
    <n v="11495"/>
    <n v="2"/>
    <n v="4598"/>
  </r>
  <r>
    <x v="1"/>
    <n v="758323"/>
    <x v="0"/>
    <n v="727"/>
    <x v="1"/>
    <n v="1"/>
    <x v="1"/>
    <x v="0"/>
    <n v="5"/>
    <n v="3"/>
    <n v="2181"/>
    <n v="1.5"/>
    <n v="3635"/>
    <n v="2"/>
    <n v="1454"/>
  </r>
  <r>
    <x v="4"/>
    <n v="676135"/>
    <x v="0"/>
    <n v="1757"/>
    <x v="1"/>
    <n v="1"/>
    <x v="1"/>
    <x v="0"/>
    <n v="5"/>
    <n v="3"/>
    <n v="5271"/>
    <n v="1.5"/>
    <n v="8785"/>
    <n v="2"/>
    <n v="3514"/>
  </r>
  <r>
    <x v="2"/>
    <n v="266313"/>
    <x v="0"/>
    <n v="367"/>
    <x v="1"/>
    <n v="1"/>
    <x v="1"/>
    <x v="0"/>
    <n v="5"/>
    <n v="3"/>
    <n v="1101"/>
    <n v="1.5"/>
    <n v="1835"/>
    <n v="2"/>
    <n v="734"/>
  </r>
  <r>
    <x v="3"/>
    <n v="686651"/>
    <x v="0"/>
    <n v="386"/>
    <x v="1"/>
    <n v="1"/>
    <x v="1"/>
    <x v="0"/>
    <n v="5"/>
    <n v="3"/>
    <n v="1158"/>
    <n v="1.5"/>
    <n v="1930"/>
    <n v="2"/>
    <n v="772"/>
  </r>
  <r>
    <x v="3"/>
    <n v="712767"/>
    <x v="0"/>
    <n v="2167"/>
    <x v="1"/>
    <n v="1"/>
    <x v="1"/>
    <x v="0"/>
    <n v="5"/>
    <n v="3"/>
    <n v="6501"/>
    <n v="1.5"/>
    <n v="10835"/>
    <n v="2"/>
    <n v="4334"/>
  </r>
  <r>
    <x v="3"/>
    <n v="294935"/>
    <x v="0"/>
    <n v="1198"/>
    <x v="1"/>
    <n v="1"/>
    <x v="1"/>
    <x v="0"/>
    <n v="5"/>
    <n v="3"/>
    <n v="3594"/>
    <n v="1.5"/>
    <n v="5990"/>
    <n v="2"/>
    <n v="2396"/>
  </r>
  <r>
    <x v="2"/>
    <n v="440377"/>
    <x v="0"/>
    <n v="2992"/>
    <x v="1"/>
    <n v="1"/>
    <x v="1"/>
    <x v="0"/>
    <n v="5"/>
    <n v="3"/>
    <n v="8976"/>
    <n v="1.5"/>
    <n v="14960"/>
    <n v="2"/>
    <n v="5984"/>
  </r>
  <r>
    <x v="2"/>
    <n v="885201"/>
    <x v="0"/>
    <n v="1715"/>
    <x v="1"/>
    <n v="1"/>
    <x v="1"/>
    <x v="0"/>
    <n v="5"/>
    <n v="3"/>
    <n v="5145"/>
    <n v="1.5"/>
    <n v="8575"/>
    <n v="2"/>
    <n v="3430"/>
  </r>
  <r>
    <x v="2"/>
    <n v="520865"/>
    <x v="0"/>
    <n v="1743"/>
    <x v="1"/>
    <n v="1"/>
    <x v="1"/>
    <x v="0"/>
    <n v="5"/>
    <n v="3"/>
    <n v="5229"/>
    <n v="1.5"/>
    <n v="8715"/>
    <n v="2"/>
    <n v="3486"/>
  </r>
  <r>
    <x v="3"/>
    <n v="609851"/>
    <x v="0"/>
    <n v="267"/>
    <x v="1"/>
    <n v="1"/>
    <x v="1"/>
    <x v="0"/>
    <n v="5"/>
    <n v="3"/>
    <n v="801"/>
    <n v="1.5"/>
    <n v="1335"/>
    <n v="2"/>
    <n v="534"/>
  </r>
  <r>
    <x v="1"/>
    <n v="439030"/>
    <x v="1"/>
    <n v="345"/>
    <x v="1"/>
    <n v="1"/>
    <x v="1"/>
    <x v="0"/>
    <n v="1"/>
    <n v="0.5"/>
    <n v="172.5"/>
    <n v="1"/>
    <n v="345"/>
    <n v="0.5"/>
    <n v="172.5"/>
  </r>
  <r>
    <x v="1"/>
    <n v="625570"/>
    <x v="1"/>
    <n v="663"/>
    <x v="1"/>
    <n v="1"/>
    <x v="1"/>
    <x v="0"/>
    <n v="1"/>
    <n v="0.5"/>
    <n v="331.5"/>
    <n v="1"/>
    <n v="663"/>
    <n v="0.5"/>
    <n v="331.5"/>
  </r>
  <r>
    <x v="3"/>
    <n v="873031"/>
    <x v="1"/>
    <n v="2851"/>
    <x v="1"/>
    <n v="1"/>
    <x v="1"/>
    <x v="0"/>
    <n v="1"/>
    <n v="0.5"/>
    <n v="1425.5"/>
    <n v="1"/>
    <n v="2851"/>
    <n v="0.5"/>
    <n v="1425.5"/>
  </r>
  <r>
    <x v="3"/>
    <n v="150704"/>
    <x v="1"/>
    <n v="1159"/>
    <x v="1"/>
    <n v="1"/>
    <x v="1"/>
    <x v="0"/>
    <n v="1"/>
    <n v="0.5"/>
    <n v="579.5"/>
    <n v="1"/>
    <n v="1159"/>
    <n v="0.5"/>
    <n v="579.5"/>
  </r>
  <r>
    <x v="4"/>
    <n v="294390"/>
    <x v="1"/>
    <n v="1403"/>
    <x v="1"/>
    <n v="1"/>
    <x v="1"/>
    <x v="0"/>
    <n v="1"/>
    <n v="0.5"/>
    <n v="701.5"/>
    <n v="1"/>
    <n v="1403"/>
    <n v="0.5"/>
    <n v="701.5"/>
  </r>
  <r>
    <x v="3"/>
    <n v="215754"/>
    <x v="1"/>
    <n v="1757"/>
    <x v="1"/>
    <n v="1"/>
    <x v="1"/>
    <x v="0"/>
    <n v="1"/>
    <n v="0.5"/>
    <n v="878.5"/>
    <n v="1"/>
    <n v="1757"/>
    <n v="0.5"/>
    <n v="878.5"/>
  </r>
  <r>
    <x v="1"/>
    <n v="644686"/>
    <x v="1"/>
    <n v="2992"/>
    <x v="1"/>
    <n v="1"/>
    <x v="1"/>
    <x v="0"/>
    <n v="1"/>
    <n v="0.5"/>
    <n v="1496"/>
    <n v="1"/>
    <n v="2992"/>
    <n v="0.5"/>
    <n v="1496"/>
  </r>
  <r>
    <x v="2"/>
    <n v="347412"/>
    <x v="1"/>
    <n v="1715"/>
    <x v="1"/>
    <n v="1"/>
    <x v="1"/>
    <x v="0"/>
    <n v="1"/>
    <n v="0.5"/>
    <n v="857.5"/>
    <n v="1"/>
    <n v="1715"/>
    <n v="0.5"/>
    <n v="857.5"/>
  </r>
  <r>
    <x v="3"/>
    <n v="295198"/>
    <x v="1"/>
    <n v="2996"/>
    <x v="1"/>
    <n v="1"/>
    <x v="1"/>
    <x v="0"/>
    <n v="1"/>
    <n v="0.5"/>
    <n v="1498"/>
    <n v="1"/>
    <n v="2996"/>
    <n v="0.5"/>
    <n v="1498"/>
  </r>
  <r>
    <x v="4"/>
    <n v="164574"/>
    <x v="1"/>
    <n v="1727"/>
    <x v="1"/>
    <n v="1"/>
    <x v="1"/>
    <x v="0"/>
    <n v="1"/>
    <n v="0.5"/>
    <n v="863.5"/>
    <n v="1"/>
    <n v="1727"/>
    <n v="0.5"/>
    <n v="863.5"/>
  </r>
  <r>
    <x v="3"/>
    <n v="253215"/>
    <x v="2"/>
    <n v="2966"/>
    <x v="1"/>
    <n v="1"/>
    <x v="1"/>
    <x v="0"/>
    <n v="5"/>
    <n v="2.8"/>
    <n v="8304.7999999999993"/>
    <n v="1.2727272727272725"/>
    <n v="14830"/>
    <n v="2.2000000000000002"/>
    <n v="6525.2000000000007"/>
  </r>
  <r>
    <x v="4"/>
    <n v="397008"/>
    <x v="2"/>
    <n v="671"/>
    <x v="1"/>
    <n v="1"/>
    <x v="1"/>
    <x v="0"/>
    <n v="5"/>
    <n v="2.8"/>
    <n v="1878.8"/>
    <n v="1.2727272727272727"/>
    <n v="3355"/>
    <n v="2.2000000000000002"/>
    <n v="1476.2"/>
  </r>
  <r>
    <x v="3"/>
    <n v="151329"/>
    <x v="2"/>
    <n v="1159"/>
    <x v="1"/>
    <n v="1"/>
    <x v="1"/>
    <x v="0"/>
    <n v="5"/>
    <n v="2.8"/>
    <n v="3245.2"/>
    <n v="1.2727272727272725"/>
    <n v="5795"/>
    <n v="2.2000000000000002"/>
    <n v="2549.8000000000002"/>
  </r>
  <r>
    <x v="3"/>
    <n v="117166"/>
    <x v="2"/>
    <n v="1228"/>
    <x v="1"/>
    <n v="1"/>
    <x v="1"/>
    <x v="0"/>
    <n v="5"/>
    <n v="2.8"/>
    <n v="3438.3999999999996"/>
    <n v="1.2727272727272725"/>
    <n v="6140"/>
    <n v="2.2000000000000002"/>
    <n v="2701.6000000000004"/>
  </r>
  <r>
    <x v="3"/>
    <n v="698573"/>
    <x v="2"/>
    <n v="727"/>
    <x v="1"/>
    <n v="1"/>
    <x v="1"/>
    <x v="0"/>
    <n v="5"/>
    <n v="2.8"/>
    <n v="2035.6"/>
    <n v="1.2727272727272727"/>
    <n v="3635"/>
    <n v="2.2000000000000002"/>
    <n v="1599.4"/>
  </r>
  <r>
    <x v="3"/>
    <n v="504962"/>
    <x v="2"/>
    <n v="1403"/>
    <x v="1"/>
    <n v="1"/>
    <x v="1"/>
    <x v="0"/>
    <n v="5"/>
    <n v="2.8"/>
    <n v="3928.3999999999996"/>
    <n v="1.2727272727272725"/>
    <n v="7015"/>
    <n v="2.2000000000000002"/>
    <n v="3086.6000000000004"/>
  </r>
  <r>
    <x v="3"/>
    <n v="657776"/>
    <x v="2"/>
    <n v="2076"/>
    <x v="1"/>
    <n v="1"/>
    <x v="1"/>
    <x v="0"/>
    <n v="5"/>
    <n v="2.8"/>
    <n v="5812.7999999999993"/>
    <n v="1.2727272727272723"/>
    <n v="10380"/>
    <n v="2.2000000000000002"/>
    <n v="4567.2000000000007"/>
  </r>
  <r>
    <x v="0"/>
    <n v="423355"/>
    <x v="2"/>
    <n v="344"/>
    <x v="1"/>
    <n v="1"/>
    <x v="1"/>
    <x v="0"/>
    <n v="5"/>
    <n v="2.8"/>
    <n v="963.19999999999993"/>
    <n v="1.2727272727272725"/>
    <n v="1720"/>
    <n v="2.2000000000000002"/>
    <n v="756.80000000000007"/>
  </r>
  <r>
    <x v="1"/>
    <n v="594129"/>
    <x v="2"/>
    <n v="1743"/>
    <x v="1"/>
    <n v="1"/>
    <x v="1"/>
    <x v="0"/>
    <n v="5"/>
    <n v="2.8"/>
    <n v="4880.3999999999996"/>
    <n v="1.2727272727272725"/>
    <n v="8715"/>
    <n v="2.2000000000000002"/>
    <n v="3834.6000000000004"/>
  </r>
  <r>
    <x v="0"/>
    <n v="225353"/>
    <x v="2"/>
    <n v="1727"/>
    <x v="1"/>
    <n v="1"/>
    <x v="1"/>
    <x v="0"/>
    <n v="5"/>
    <n v="2.8"/>
    <n v="4835.6000000000004"/>
    <n v="1.2727272727272727"/>
    <n v="8635"/>
    <n v="2.2000000000000002"/>
    <n v="3799.4"/>
  </r>
  <r>
    <x v="3"/>
    <n v="576749"/>
    <x v="3"/>
    <n v="766"/>
    <x v="1"/>
    <n v="1"/>
    <x v="1"/>
    <x v="0"/>
    <n v="4"/>
    <n v="2.5"/>
    <n v="1915"/>
    <n v="1.6666666666666667"/>
    <n v="3064"/>
    <n v="1.5"/>
    <n v="1149"/>
  </r>
  <r>
    <x v="1"/>
    <n v="238485"/>
    <x v="3"/>
    <n v="494"/>
    <x v="1"/>
    <n v="1"/>
    <x v="1"/>
    <x v="0"/>
    <n v="4"/>
    <n v="2.5"/>
    <n v="1235"/>
    <n v="1.6666666666666667"/>
    <n v="1976"/>
    <n v="1.5"/>
    <n v="741"/>
  </r>
  <r>
    <x v="0"/>
    <n v="893967"/>
    <x v="3"/>
    <n v="214"/>
    <x v="1"/>
    <n v="1"/>
    <x v="1"/>
    <x v="0"/>
    <n v="4"/>
    <n v="2.5"/>
    <n v="535"/>
    <n v="1.6666666666666667"/>
    <n v="856"/>
    <n v="1.5"/>
    <n v="321"/>
  </r>
  <r>
    <x v="2"/>
    <n v="654585"/>
    <x v="3"/>
    <n v="2851"/>
    <x v="1"/>
    <n v="1"/>
    <x v="1"/>
    <x v="0"/>
    <n v="4"/>
    <n v="2.5"/>
    <n v="7127.5"/>
    <n v="1.6666666666666667"/>
    <n v="11404"/>
    <n v="1.5"/>
    <n v="4276.5"/>
  </r>
  <r>
    <x v="4"/>
    <n v="288662"/>
    <x v="3"/>
    <n v="2299"/>
    <x v="1"/>
    <n v="1"/>
    <x v="1"/>
    <x v="0"/>
    <n v="4"/>
    <n v="2.5"/>
    <n v="5747.5"/>
    <n v="1.6666666666666667"/>
    <n v="9196"/>
    <n v="1.5"/>
    <n v="3448.5"/>
  </r>
  <r>
    <x v="1"/>
    <n v="496752"/>
    <x v="3"/>
    <n v="367"/>
    <x v="1"/>
    <n v="1"/>
    <x v="1"/>
    <x v="0"/>
    <n v="4"/>
    <n v="2.5"/>
    <n v="917.5"/>
    <n v="1.6666666666666667"/>
    <n v="1468"/>
    <n v="1.5"/>
    <n v="550.5"/>
  </r>
  <r>
    <x v="4"/>
    <n v="395290"/>
    <x v="3"/>
    <n v="386"/>
    <x v="1"/>
    <n v="1"/>
    <x v="1"/>
    <x v="0"/>
    <n v="4"/>
    <n v="2.5"/>
    <n v="965"/>
    <n v="1.6666666666666667"/>
    <n v="1544"/>
    <n v="1.5"/>
    <n v="579"/>
  </r>
  <r>
    <x v="3"/>
    <n v="518063"/>
    <x v="3"/>
    <n v="1198"/>
    <x v="1"/>
    <n v="1"/>
    <x v="1"/>
    <x v="0"/>
    <n v="4"/>
    <n v="2.5"/>
    <n v="2995"/>
    <n v="1.6666666666666667"/>
    <n v="4792"/>
    <n v="1.5"/>
    <n v="1797"/>
  </r>
  <r>
    <x v="0"/>
    <n v="727283"/>
    <x v="3"/>
    <n v="2996"/>
    <x v="1"/>
    <n v="1"/>
    <x v="1"/>
    <x v="0"/>
    <n v="4"/>
    <n v="2.5"/>
    <n v="7490"/>
    <n v="1.6666666666666667"/>
    <n v="11984"/>
    <n v="1.5"/>
    <n v="4494"/>
  </r>
  <r>
    <x v="3"/>
    <n v="243929"/>
    <x v="4"/>
    <n v="494"/>
    <x v="1"/>
    <n v="1"/>
    <x v="1"/>
    <x v="0"/>
    <n v="3"/>
    <n v="1.75"/>
    <n v="864.5"/>
    <n v="1.4"/>
    <n v="1482"/>
    <n v="1.25"/>
    <n v="617.5"/>
  </r>
  <r>
    <x v="1"/>
    <n v="827058"/>
    <x v="4"/>
    <n v="214"/>
    <x v="1"/>
    <n v="1"/>
    <x v="1"/>
    <x v="0"/>
    <n v="3"/>
    <n v="1.75"/>
    <n v="374.5"/>
    <n v="1.4"/>
    <n v="642"/>
    <n v="1.25"/>
    <n v="267.5"/>
  </r>
  <r>
    <x v="4"/>
    <n v="623371"/>
    <x v="4"/>
    <n v="1945"/>
    <x v="1"/>
    <n v="1"/>
    <x v="1"/>
    <x v="0"/>
    <n v="3"/>
    <n v="1.75"/>
    <n v="3403.75"/>
    <n v="1.4"/>
    <n v="5835"/>
    <n v="1.25"/>
    <n v="2431.25"/>
  </r>
  <r>
    <x v="3"/>
    <n v="592176"/>
    <x v="4"/>
    <n v="1514"/>
    <x v="1"/>
    <n v="1"/>
    <x v="1"/>
    <x v="0"/>
    <n v="3"/>
    <n v="1.75"/>
    <n v="2649.5"/>
    <n v="1.4"/>
    <n v="4542"/>
    <n v="1.25"/>
    <n v="1892.5"/>
  </r>
  <r>
    <x v="1"/>
    <n v="426898"/>
    <x v="4"/>
    <n v="1389"/>
    <x v="1"/>
    <n v="1"/>
    <x v="1"/>
    <x v="0"/>
    <n v="3"/>
    <n v="1.75"/>
    <n v="2430.75"/>
    <n v="1.4"/>
    <n v="4167"/>
    <n v="1.25"/>
    <n v="1736.25"/>
  </r>
  <r>
    <x v="2"/>
    <n v="425472"/>
    <x v="4"/>
    <n v="1221"/>
    <x v="1"/>
    <n v="1"/>
    <x v="1"/>
    <x v="0"/>
    <n v="3"/>
    <n v="1.75"/>
    <n v="2136.75"/>
    <n v="1.4"/>
    <n v="3663"/>
    <n v="1.25"/>
    <n v="1526.25"/>
  </r>
  <r>
    <x v="2"/>
    <n v="540189"/>
    <x v="4"/>
    <n v="2294"/>
    <x v="1"/>
    <n v="1"/>
    <x v="1"/>
    <x v="0"/>
    <n v="3"/>
    <n v="1.75"/>
    <n v="4014.5"/>
    <n v="1.4"/>
    <n v="6882"/>
    <n v="1.25"/>
    <n v="2867.5"/>
  </r>
  <r>
    <x v="1"/>
    <n v="823956"/>
    <x v="4"/>
    <n v="2167"/>
    <x v="1"/>
    <n v="1"/>
    <x v="1"/>
    <x v="0"/>
    <n v="3"/>
    <n v="1.75"/>
    <n v="3792.25"/>
    <n v="1.4"/>
    <n v="6501"/>
    <n v="1.25"/>
    <n v="2708.75"/>
  </r>
  <r>
    <x v="4"/>
    <n v="340032"/>
    <x v="4"/>
    <n v="269"/>
    <x v="1"/>
    <n v="1"/>
    <x v="1"/>
    <x v="0"/>
    <n v="3"/>
    <n v="1.75"/>
    <n v="470.75"/>
    <n v="1.4"/>
    <n v="807"/>
    <n v="1.25"/>
    <n v="336.25"/>
  </r>
  <r>
    <x v="0"/>
    <n v="199727"/>
    <x v="4"/>
    <n v="267"/>
    <x v="1"/>
    <n v="1"/>
    <x v="1"/>
    <x v="0"/>
    <n v="3"/>
    <n v="1.75"/>
    <n v="467.25"/>
    <n v="1.4"/>
    <n v="801"/>
    <n v="1.25"/>
    <n v="333.75"/>
  </r>
  <r>
    <x v="3"/>
    <n v="725066"/>
    <x v="5"/>
    <n v="345"/>
    <x v="1"/>
    <n v="1"/>
    <x v="1"/>
    <x v="0"/>
    <n v="6"/>
    <n v="3.25"/>
    <n v="1121.25"/>
    <n v="1.1818181818181819"/>
    <n v="2070"/>
    <n v="2.75"/>
    <n v="948.75"/>
  </r>
  <r>
    <x v="1"/>
    <n v="196520"/>
    <x v="5"/>
    <n v="663"/>
    <x v="1"/>
    <n v="1"/>
    <x v="1"/>
    <x v="0"/>
    <n v="6"/>
    <n v="3.25"/>
    <n v="2154.75"/>
    <n v="1.1818181818181819"/>
    <n v="3978"/>
    <n v="2.75"/>
    <n v="1823.25"/>
  </r>
  <r>
    <x v="4"/>
    <n v="861720"/>
    <x v="5"/>
    <n v="2966"/>
    <x v="1"/>
    <n v="1"/>
    <x v="1"/>
    <x v="0"/>
    <n v="6"/>
    <n v="3.25"/>
    <n v="9639.5"/>
    <n v="1.1818181818181819"/>
    <n v="17796"/>
    <n v="2.75"/>
    <n v="8156.5"/>
  </r>
  <r>
    <x v="0"/>
    <n v="156941"/>
    <x v="5"/>
    <n v="809"/>
    <x v="1"/>
    <n v="1"/>
    <x v="1"/>
    <x v="0"/>
    <n v="6"/>
    <n v="3.25"/>
    <n v="2629.25"/>
    <n v="1.1818181818181819"/>
    <n v="4854"/>
    <n v="2.75"/>
    <n v="2224.75"/>
  </r>
  <r>
    <x v="2"/>
    <n v="431261"/>
    <x v="5"/>
    <n v="2145"/>
    <x v="1"/>
    <n v="1"/>
    <x v="1"/>
    <x v="0"/>
    <n v="6"/>
    <n v="3.25"/>
    <n v="6971.25"/>
    <n v="1.1818181818181819"/>
    <n v="12870"/>
    <n v="2.75"/>
    <n v="5898.75"/>
  </r>
  <r>
    <x v="1"/>
    <n v="295390"/>
    <x v="5"/>
    <n v="704"/>
    <x v="1"/>
    <n v="1"/>
    <x v="1"/>
    <x v="0"/>
    <n v="6"/>
    <n v="3.25"/>
    <n v="2288"/>
    <n v="1.1818181818181819"/>
    <n v="4224"/>
    <n v="2.75"/>
    <n v="1936"/>
  </r>
  <r>
    <x v="3"/>
    <n v="669715"/>
    <x v="5"/>
    <n v="1221"/>
    <x v="1"/>
    <n v="1"/>
    <x v="1"/>
    <x v="0"/>
    <n v="6"/>
    <n v="3.25"/>
    <n v="3968.25"/>
    <n v="1.1818181818181819"/>
    <n v="7326"/>
    <n v="2.75"/>
    <n v="3357.75"/>
  </r>
  <r>
    <x v="0"/>
    <n v="881268"/>
    <x v="5"/>
    <n v="2076"/>
    <x v="1"/>
    <n v="1"/>
    <x v="1"/>
    <x v="0"/>
    <n v="6"/>
    <n v="3.25"/>
    <n v="6747"/>
    <n v="1.1818181818181819"/>
    <n v="12456"/>
    <n v="2.75"/>
    <n v="5709"/>
  </r>
  <r>
    <x v="3"/>
    <n v="378254"/>
    <x v="5"/>
    <n v="2294"/>
    <x v="1"/>
    <n v="1"/>
    <x v="1"/>
    <x v="0"/>
    <n v="6"/>
    <n v="3.25"/>
    <n v="7455.5"/>
    <n v="1.1818181818181819"/>
    <n v="13764"/>
    <n v="2.75"/>
    <n v="6308.5"/>
  </r>
  <r>
    <x v="1"/>
    <n v="403071"/>
    <x v="5"/>
    <n v="344"/>
    <x v="1"/>
    <n v="1"/>
    <x v="1"/>
    <x v="0"/>
    <n v="6"/>
    <n v="3.25"/>
    <n v="1118"/>
    <n v="1.1818181818181819"/>
    <n v="2064"/>
    <n v="2.75"/>
    <n v="946"/>
  </r>
  <r>
    <x v="2"/>
    <n v="867907"/>
    <x v="5"/>
    <n v="269"/>
    <x v="1"/>
    <n v="1"/>
    <x v="1"/>
    <x v="0"/>
    <n v="6"/>
    <n v="3.25"/>
    <n v="874.25"/>
    <n v="1.1818181818181819"/>
    <n v="1614"/>
    <n v="2.75"/>
    <n v="739.75"/>
  </r>
  <r>
    <x v="4"/>
    <n v="289811"/>
    <x v="0"/>
    <n v="1725"/>
    <x v="2"/>
    <n v="1"/>
    <x v="2"/>
    <x v="0"/>
    <n v="5"/>
    <n v="3"/>
    <n v="5175"/>
    <n v="1.5"/>
    <n v="8625"/>
    <n v="2"/>
    <n v="3450"/>
  </r>
  <r>
    <x v="0"/>
    <n v="144696"/>
    <x v="0"/>
    <n v="912"/>
    <x v="2"/>
    <n v="1"/>
    <x v="2"/>
    <x v="0"/>
    <n v="5"/>
    <n v="3"/>
    <n v="2736"/>
    <n v="1.5"/>
    <n v="4560"/>
    <n v="2"/>
    <n v="1824"/>
  </r>
  <r>
    <x v="0"/>
    <n v="303687"/>
    <x v="0"/>
    <n v="1785"/>
    <x v="2"/>
    <n v="1"/>
    <x v="2"/>
    <x v="0"/>
    <n v="5"/>
    <n v="3"/>
    <n v="5355"/>
    <n v="1.5"/>
    <n v="8925"/>
    <n v="2"/>
    <n v="3570"/>
  </r>
  <r>
    <x v="3"/>
    <n v="521535"/>
    <x v="0"/>
    <n v="1404"/>
    <x v="2"/>
    <n v="1"/>
    <x v="2"/>
    <x v="0"/>
    <n v="5"/>
    <n v="3"/>
    <n v="4212"/>
    <n v="1.5"/>
    <n v="7020"/>
    <n v="2"/>
    <n v="2808"/>
  </r>
  <r>
    <x v="1"/>
    <n v="867252"/>
    <x v="0"/>
    <n v="2763"/>
    <x v="2"/>
    <n v="1"/>
    <x v="2"/>
    <x v="0"/>
    <n v="5"/>
    <n v="3"/>
    <n v="8289"/>
    <n v="1.5"/>
    <n v="13815"/>
    <n v="2"/>
    <n v="5526"/>
  </r>
  <r>
    <x v="3"/>
    <n v="263663"/>
    <x v="0"/>
    <n v="2146"/>
    <x v="2"/>
    <n v="1"/>
    <x v="2"/>
    <x v="0"/>
    <n v="5"/>
    <n v="3"/>
    <n v="6438"/>
    <n v="1.5"/>
    <n v="10730"/>
    <n v="2"/>
    <n v="4292"/>
  </r>
  <r>
    <x v="3"/>
    <n v="839631"/>
    <x v="0"/>
    <n v="1775"/>
    <x v="2"/>
    <n v="1"/>
    <x v="2"/>
    <x v="0"/>
    <n v="5"/>
    <n v="3"/>
    <n v="5325"/>
    <n v="1.5"/>
    <n v="8875"/>
    <n v="2"/>
    <n v="3550"/>
  </r>
  <r>
    <x v="4"/>
    <n v="754823"/>
    <x v="0"/>
    <n v="2222"/>
    <x v="2"/>
    <n v="1"/>
    <x v="2"/>
    <x v="0"/>
    <n v="5"/>
    <n v="3"/>
    <n v="6666"/>
    <n v="1.5"/>
    <n v="11110"/>
    <n v="2"/>
    <n v="4444"/>
  </r>
  <r>
    <x v="1"/>
    <n v="364025"/>
    <x v="0"/>
    <n v="1922"/>
    <x v="2"/>
    <n v="1"/>
    <x v="2"/>
    <x v="0"/>
    <n v="5"/>
    <n v="3"/>
    <n v="5766"/>
    <n v="1.5"/>
    <n v="9610"/>
    <n v="2"/>
    <n v="3844"/>
  </r>
  <r>
    <x v="1"/>
    <n v="117162"/>
    <x v="0"/>
    <n v="2007"/>
    <x v="2"/>
    <n v="1"/>
    <x v="2"/>
    <x v="0"/>
    <n v="5"/>
    <n v="3"/>
    <n v="6021"/>
    <n v="1.5"/>
    <n v="10035"/>
    <n v="2"/>
    <n v="4014"/>
  </r>
  <r>
    <x v="3"/>
    <n v="708450"/>
    <x v="0"/>
    <n v="2151"/>
    <x v="2"/>
    <n v="1"/>
    <x v="2"/>
    <x v="0"/>
    <n v="5"/>
    <n v="3"/>
    <n v="6453"/>
    <n v="1.5"/>
    <n v="10755"/>
    <n v="2"/>
    <n v="4302"/>
  </r>
  <r>
    <x v="4"/>
    <n v="113657"/>
    <x v="1"/>
    <n v="1660"/>
    <x v="2"/>
    <n v="1"/>
    <x v="2"/>
    <x v="0"/>
    <n v="1"/>
    <n v="0.5"/>
    <n v="830"/>
    <n v="1"/>
    <n v="1660"/>
    <n v="0.5"/>
    <n v="830"/>
  </r>
  <r>
    <x v="4"/>
    <n v="443834"/>
    <x v="1"/>
    <n v="2500"/>
    <x v="2"/>
    <n v="1"/>
    <x v="2"/>
    <x v="0"/>
    <n v="1"/>
    <n v="0.5"/>
    <n v="1250"/>
    <n v="1"/>
    <n v="2500"/>
    <n v="0.5"/>
    <n v="1250"/>
  </r>
  <r>
    <x v="3"/>
    <n v="431913"/>
    <x v="1"/>
    <n v="1857"/>
    <x v="2"/>
    <n v="1"/>
    <x v="2"/>
    <x v="0"/>
    <n v="1"/>
    <n v="0.5"/>
    <n v="928.5"/>
    <n v="1"/>
    <n v="1857"/>
    <n v="0.5"/>
    <n v="928.5"/>
  </r>
  <r>
    <x v="1"/>
    <n v="352793"/>
    <x v="1"/>
    <n v="1804"/>
    <x v="2"/>
    <n v="1"/>
    <x v="2"/>
    <x v="0"/>
    <n v="1"/>
    <n v="0.5"/>
    <n v="902"/>
    <n v="1"/>
    <n v="1804"/>
    <n v="0.5"/>
    <n v="902"/>
  </r>
  <r>
    <x v="4"/>
    <n v="182735"/>
    <x v="2"/>
    <n v="321"/>
    <x v="2"/>
    <n v="1"/>
    <x v="2"/>
    <x v="0"/>
    <n v="5"/>
    <n v="2.8"/>
    <n v="898.8"/>
    <n v="1.2727272727272725"/>
    <n v="1605"/>
    <n v="2.2000000000000002"/>
    <n v="706.2"/>
  </r>
  <r>
    <x v="4"/>
    <n v="256775"/>
    <x v="2"/>
    <n v="970"/>
    <x v="2"/>
    <n v="1"/>
    <x v="2"/>
    <x v="0"/>
    <n v="5"/>
    <n v="2.8"/>
    <n v="2716"/>
    <n v="1.2727272727272727"/>
    <n v="4850"/>
    <n v="2.2000000000000002"/>
    <n v="2134"/>
  </r>
  <r>
    <x v="4"/>
    <n v="519269"/>
    <x v="2"/>
    <n v="2548"/>
    <x v="2"/>
    <n v="1"/>
    <x v="2"/>
    <x v="0"/>
    <n v="5"/>
    <n v="2.8"/>
    <n v="7134.4"/>
    <n v="1.2727272727272725"/>
    <n v="12740"/>
    <n v="2.2000000000000002"/>
    <n v="5605.6"/>
  </r>
  <r>
    <x v="2"/>
    <n v="227896"/>
    <x v="2"/>
    <n v="1870"/>
    <x v="2"/>
    <n v="1"/>
    <x v="2"/>
    <x v="0"/>
    <n v="5"/>
    <n v="2.8"/>
    <n v="5236"/>
    <n v="1.2727272727272727"/>
    <n v="9350"/>
    <n v="2.2000000000000002"/>
    <n v="4114"/>
  </r>
  <r>
    <x v="4"/>
    <n v="403455"/>
    <x v="3"/>
    <n v="2145"/>
    <x v="2"/>
    <n v="1"/>
    <x v="2"/>
    <x v="0"/>
    <n v="4"/>
    <n v="2.5"/>
    <n v="5362.5"/>
    <n v="1.6666666666666667"/>
    <n v="8580"/>
    <n v="1.5"/>
    <n v="3217.5"/>
  </r>
  <r>
    <x v="2"/>
    <n v="296951"/>
    <x v="3"/>
    <n v="1016"/>
    <x v="2"/>
    <n v="1"/>
    <x v="2"/>
    <x v="0"/>
    <n v="4"/>
    <n v="2.5"/>
    <n v="2540"/>
    <n v="1.6666666666666667"/>
    <n v="4064"/>
    <n v="1.5"/>
    <n v="1524"/>
  </r>
  <r>
    <x v="4"/>
    <n v="680427"/>
    <x v="3"/>
    <n v="263"/>
    <x v="2"/>
    <n v="1"/>
    <x v="2"/>
    <x v="0"/>
    <n v="4"/>
    <n v="2.5"/>
    <n v="657.5"/>
    <n v="1.6666666666666667"/>
    <n v="1052"/>
    <n v="1.5"/>
    <n v="394.5"/>
  </r>
  <r>
    <x v="3"/>
    <n v="607051"/>
    <x v="3"/>
    <n v="1560"/>
    <x v="2"/>
    <n v="1"/>
    <x v="2"/>
    <x v="0"/>
    <n v="4"/>
    <n v="2.5"/>
    <n v="3900"/>
    <n v="1.6666666666666667"/>
    <n v="6240"/>
    <n v="1.5"/>
    <n v="2340"/>
  </r>
  <r>
    <x v="1"/>
    <n v="535522"/>
    <x v="3"/>
    <n v="2706"/>
    <x v="2"/>
    <n v="1"/>
    <x v="2"/>
    <x v="0"/>
    <n v="4"/>
    <n v="2.5"/>
    <n v="6765"/>
    <n v="1.6666666666666667"/>
    <n v="10824"/>
    <n v="1.5"/>
    <n v="4059"/>
  </r>
  <r>
    <x v="3"/>
    <n v="646205"/>
    <x v="4"/>
    <n v="1265"/>
    <x v="2"/>
    <n v="1"/>
    <x v="2"/>
    <x v="0"/>
    <n v="3"/>
    <n v="1.75"/>
    <n v="2213.75"/>
    <n v="1.4"/>
    <n v="3795"/>
    <n v="1.25"/>
    <n v="1581.25"/>
  </r>
  <r>
    <x v="0"/>
    <n v="872775"/>
    <x v="4"/>
    <n v="2297"/>
    <x v="2"/>
    <n v="1"/>
    <x v="2"/>
    <x v="0"/>
    <n v="3"/>
    <n v="1.75"/>
    <n v="4019.75"/>
    <n v="1.4"/>
    <n v="6891"/>
    <n v="1.25"/>
    <n v="2871.25"/>
  </r>
  <r>
    <x v="1"/>
    <n v="441711"/>
    <x v="4"/>
    <n v="1123"/>
    <x v="2"/>
    <n v="1"/>
    <x v="2"/>
    <x v="0"/>
    <n v="3"/>
    <n v="1.75"/>
    <n v="1965.25"/>
    <n v="1.4"/>
    <n v="3369"/>
    <n v="1.25"/>
    <n v="1403.75"/>
  </r>
  <r>
    <x v="4"/>
    <n v="750389"/>
    <x v="4"/>
    <n v="2682"/>
    <x v="2"/>
    <n v="1"/>
    <x v="2"/>
    <x v="0"/>
    <n v="3"/>
    <n v="1.75"/>
    <n v="4693.5"/>
    <n v="1.4"/>
    <n v="8046"/>
    <n v="1.25"/>
    <n v="3352.5"/>
  </r>
  <r>
    <x v="2"/>
    <n v="856913"/>
    <x v="4"/>
    <n v="2935"/>
    <x v="2"/>
    <n v="1"/>
    <x v="2"/>
    <x v="0"/>
    <n v="3"/>
    <n v="1.75"/>
    <n v="5136.25"/>
    <n v="1.4"/>
    <n v="8805"/>
    <n v="1.25"/>
    <n v="3668.75"/>
  </r>
  <r>
    <x v="4"/>
    <n v="780393"/>
    <x v="4"/>
    <n v="2954"/>
    <x v="2"/>
    <n v="1"/>
    <x v="2"/>
    <x v="0"/>
    <n v="3"/>
    <n v="1.75"/>
    <n v="5169.5"/>
    <n v="1.4"/>
    <n v="8862"/>
    <n v="1.25"/>
    <n v="3692.5"/>
  </r>
  <r>
    <x v="2"/>
    <n v="894331"/>
    <x v="5"/>
    <n v="2092"/>
    <x v="2"/>
    <n v="1"/>
    <x v="2"/>
    <x v="0"/>
    <n v="6"/>
    <n v="3.25"/>
    <n v="6799"/>
    <n v="1.1818181818181819"/>
    <n v="12552"/>
    <n v="2.75"/>
    <n v="5753"/>
  </r>
  <r>
    <x v="4"/>
    <n v="289924"/>
    <x v="5"/>
    <n v="386"/>
    <x v="2"/>
    <n v="1"/>
    <x v="2"/>
    <x v="0"/>
    <n v="6"/>
    <n v="3.25"/>
    <n v="1254.5"/>
    <n v="1.1818181818181819"/>
    <n v="2316"/>
    <n v="2.75"/>
    <n v="1061.5"/>
  </r>
  <r>
    <x v="1"/>
    <n v="814769"/>
    <x v="5"/>
    <n v="2605"/>
    <x v="2"/>
    <n v="1"/>
    <x v="2"/>
    <x v="0"/>
    <n v="6"/>
    <n v="3.25"/>
    <n v="8466.25"/>
    <n v="1.1818181818181819"/>
    <n v="15630"/>
    <n v="2.75"/>
    <n v="7163.75"/>
  </r>
  <r>
    <x v="2"/>
    <n v="752353"/>
    <x v="5"/>
    <n v="2536"/>
    <x v="2"/>
    <n v="1"/>
    <x v="2"/>
    <x v="0"/>
    <n v="6"/>
    <n v="3.25"/>
    <n v="8242"/>
    <n v="1.1818181818181819"/>
    <n v="15216"/>
    <n v="2.75"/>
    <n v="6974"/>
  </r>
  <r>
    <x v="4"/>
    <n v="208456"/>
    <x v="5"/>
    <n v="2574"/>
    <x v="2"/>
    <n v="1"/>
    <x v="2"/>
    <x v="0"/>
    <n v="6"/>
    <n v="3.25"/>
    <n v="8365.5"/>
    <n v="1.1818181818181819"/>
    <n v="15444"/>
    <n v="2.75"/>
    <n v="7078.5"/>
  </r>
  <r>
    <x v="1"/>
    <n v="529550"/>
    <x v="0"/>
    <n v="2152"/>
    <x v="3"/>
    <n v="1"/>
    <x v="3"/>
    <x v="0"/>
    <n v="5"/>
    <n v="3"/>
    <n v="6456"/>
    <n v="1.5"/>
    <n v="10760"/>
    <n v="2"/>
    <n v="4304"/>
  </r>
  <r>
    <x v="1"/>
    <n v="793514"/>
    <x v="0"/>
    <n v="1925"/>
    <x v="3"/>
    <n v="1"/>
    <x v="3"/>
    <x v="0"/>
    <n v="5"/>
    <n v="3"/>
    <n v="5775"/>
    <n v="1.5"/>
    <n v="9625"/>
    <n v="2"/>
    <n v="3850"/>
  </r>
  <r>
    <x v="0"/>
    <n v="780708"/>
    <x v="0"/>
    <n v="2013"/>
    <x v="3"/>
    <n v="1"/>
    <x v="3"/>
    <x v="0"/>
    <n v="5"/>
    <n v="3"/>
    <n v="6039"/>
    <n v="1.5"/>
    <n v="10065"/>
    <n v="2"/>
    <n v="4026"/>
  </r>
  <r>
    <x v="2"/>
    <n v="738910"/>
    <x v="0"/>
    <n v="2261"/>
    <x v="3"/>
    <n v="1"/>
    <x v="3"/>
    <x v="0"/>
    <n v="5"/>
    <n v="3"/>
    <n v="6783"/>
    <n v="1.5"/>
    <n v="11305"/>
    <n v="2"/>
    <n v="4522"/>
  </r>
  <r>
    <x v="4"/>
    <n v="348194"/>
    <x v="0"/>
    <n v="1802"/>
    <x v="3"/>
    <n v="1"/>
    <x v="3"/>
    <x v="0"/>
    <n v="5"/>
    <n v="3"/>
    <n v="5406"/>
    <n v="1.5"/>
    <n v="9010"/>
    <n v="2"/>
    <n v="3604"/>
  </r>
  <r>
    <x v="4"/>
    <n v="685544"/>
    <x v="0"/>
    <n v="2136"/>
    <x v="3"/>
    <n v="1"/>
    <x v="3"/>
    <x v="0"/>
    <n v="5"/>
    <n v="3"/>
    <n v="6408"/>
    <n v="1.5"/>
    <n v="10680"/>
    <n v="2"/>
    <n v="4272"/>
  </r>
  <r>
    <x v="0"/>
    <n v="636993"/>
    <x v="0"/>
    <n v="2116"/>
    <x v="3"/>
    <n v="1"/>
    <x v="3"/>
    <x v="0"/>
    <n v="5"/>
    <n v="3"/>
    <n v="6348"/>
    <n v="1.5"/>
    <n v="10580"/>
    <n v="2"/>
    <n v="4232"/>
  </r>
  <r>
    <x v="3"/>
    <n v="146778"/>
    <x v="0"/>
    <n v="2125"/>
    <x v="3"/>
    <n v="1"/>
    <x v="3"/>
    <x v="0"/>
    <n v="5"/>
    <n v="3"/>
    <n v="6375"/>
    <n v="1.5"/>
    <n v="10625"/>
    <n v="2"/>
    <n v="4250"/>
  </r>
  <r>
    <x v="3"/>
    <n v="887888"/>
    <x v="0"/>
    <n v="1946"/>
    <x v="3"/>
    <n v="1"/>
    <x v="3"/>
    <x v="0"/>
    <n v="5"/>
    <n v="3"/>
    <n v="5838"/>
    <n v="1.5"/>
    <n v="9730"/>
    <n v="2"/>
    <n v="3892"/>
  </r>
  <r>
    <x v="4"/>
    <n v="737790"/>
    <x v="0"/>
    <n v="380"/>
    <x v="3"/>
    <n v="1"/>
    <x v="3"/>
    <x v="0"/>
    <n v="5"/>
    <n v="3"/>
    <n v="1140"/>
    <n v="1.5"/>
    <n v="1900"/>
    <n v="2"/>
    <n v="760"/>
  </r>
  <r>
    <x v="0"/>
    <n v="830981"/>
    <x v="1"/>
    <n v="1100"/>
    <x v="3"/>
    <n v="1"/>
    <x v="3"/>
    <x v="0"/>
    <n v="1"/>
    <n v="0.5"/>
    <n v="550"/>
    <n v="1"/>
    <n v="1100"/>
    <n v="0.5"/>
    <n v="550"/>
  </r>
  <r>
    <x v="2"/>
    <n v="270516"/>
    <x v="1"/>
    <n v="1611"/>
    <x v="3"/>
    <n v="1"/>
    <x v="3"/>
    <x v="0"/>
    <n v="1"/>
    <n v="0.5"/>
    <n v="805.5"/>
    <n v="1"/>
    <n v="1611"/>
    <n v="0.5"/>
    <n v="805.5"/>
  </r>
  <r>
    <x v="1"/>
    <n v="254540"/>
    <x v="1"/>
    <n v="334"/>
    <x v="3"/>
    <n v="1"/>
    <x v="3"/>
    <x v="0"/>
    <n v="1"/>
    <n v="0.5"/>
    <n v="167"/>
    <n v="1"/>
    <n v="334"/>
    <n v="0.5"/>
    <n v="167"/>
  </r>
  <r>
    <x v="0"/>
    <n v="469636"/>
    <x v="1"/>
    <n v="1186"/>
    <x v="3"/>
    <n v="1"/>
    <x v="3"/>
    <x v="0"/>
    <n v="1"/>
    <n v="0.5"/>
    <n v="593"/>
    <n v="1"/>
    <n v="1186"/>
    <n v="0.5"/>
    <n v="593"/>
  </r>
  <r>
    <x v="2"/>
    <n v="733366"/>
    <x v="2"/>
    <n v="1778"/>
    <x v="3"/>
    <n v="1"/>
    <x v="3"/>
    <x v="0"/>
    <n v="5"/>
    <n v="2.8"/>
    <n v="4978.3999999999996"/>
    <n v="1.2727272727272725"/>
    <n v="8890"/>
    <n v="2.2000000000000002"/>
    <n v="3911.6000000000004"/>
  </r>
  <r>
    <x v="4"/>
    <n v="545954"/>
    <x v="2"/>
    <n v="1375"/>
    <x v="3"/>
    <n v="1"/>
    <x v="3"/>
    <x v="0"/>
    <n v="5"/>
    <n v="2.8"/>
    <n v="3849.9999999999995"/>
    <n v="1.2727272727272725"/>
    <n v="6875"/>
    <n v="2.2000000000000002"/>
    <n v="3025.0000000000005"/>
  </r>
  <r>
    <x v="2"/>
    <n v="581556"/>
    <x v="2"/>
    <n v="306"/>
    <x v="3"/>
    <n v="1"/>
    <x v="3"/>
    <x v="0"/>
    <n v="5"/>
    <n v="2.8"/>
    <n v="856.8"/>
    <n v="1.2727272727272725"/>
    <n v="1530"/>
    <n v="2.2000000000000002"/>
    <n v="673.2"/>
  </r>
  <r>
    <x v="3"/>
    <n v="786473"/>
    <x v="2"/>
    <n v="1770"/>
    <x v="3"/>
    <n v="1"/>
    <x v="3"/>
    <x v="0"/>
    <n v="5"/>
    <n v="2.8"/>
    <n v="4956"/>
    <n v="1.2727272727272725"/>
    <n v="8850"/>
    <n v="2.2000000000000002"/>
    <n v="3894.0000000000005"/>
  </r>
  <r>
    <x v="0"/>
    <n v="208984"/>
    <x v="2"/>
    <n v="2015"/>
    <x v="3"/>
    <n v="1"/>
    <x v="3"/>
    <x v="0"/>
    <n v="5"/>
    <n v="2.8"/>
    <n v="5642"/>
    <n v="1.2727272727272727"/>
    <n v="10075"/>
    <n v="2.2000000000000002"/>
    <n v="4433"/>
  </r>
  <r>
    <x v="4"/>
    <n v="249563"/>
    <x v="3"/>
    <n v="908"/>
    <x v="3"/>
    <n v="1"/>
    <x v="3"/>
    <x v="0"/>
    <n v="4"/>
    <n v="2.5"/>
    <n v="2270"/>
    <n v="1.6666666666666667"/>
    <n v="3632"/>
    <n v="1.5"/>
    <n v="1362"/>
  </r>
  <r>
    <x v="3"/>
    <n v="847678"/>
    <x v="3"/>
    <n v="887"/>
    <x v="3"/>
    <n v="1"/>
    <x v="3"/>
    <x v="0"/>
    <n v="4"/>
    <n v="2.5"/>
    <n v="2217.5"/>
    <n v="1.6666666666666667"/>
    <n v="3548"/>
    <n v="1.5"/>
    <n v="1330.5"/>
  </r>
  <r>
    <x v="3"/>
    <n v="788517"/>
    <x v="3"/>
    <n v="1482"/>
    <x v="3"/>
    <n v="1"/>
    <x v="3"/>
    <x v="0"/>
    <n v="4"/>
    <n v="2.5"/>
    <n v="3705"/>
    <n v="1.6666666666666667"/>
    <n v="5928"/>
    <n v="1.5"/>
    <n v="2223"/>
  </r>
  <r>
    <x v="4"/>
    <n v="384743"/>
    <x v="3"/>
    <n v="2821"/>
    <x v="3"/>
    <n v="1"/>
    <x v="3"/>
    <x v="0"/>
    <n v="4"/>
    <n v="2.5"/>
    <n v="7052.5"/>
    <n v="1.6666666666666667"/>
    <n v="11284"/>
    <n v="1.5"/>
    <n v="4231.5"/>
  </r>
  <r>
    <x v="1"/>
    <n v="454417"/>
    <x v="4"/>
    <n v="266"/>
    <x v="3"/>
    <n v="1"/>
    <x v="3"/>
    <x v="0"/>
    <n v="3"/>
    <n v="1.75"/>
    <n v="465.5"/>
    <n v="1.4"/>
    <n v="798"/>
    <n v="1.25"/>
    <n v="332.5"/>
  </r>
  <r>
    <x v="2"/>
    <n v="434482"/>
    <x v="4"/>
    <n v="1940"/>
    <x v="3"/>
    <n v="1"/>
    <x v="3"/>
    <x v="0"/>
    <n v="3"/>
    <n v="1.75"/>
    <n v="3395"/>
    <n v="1.4"/>
    <n v="5820"/>
    <n v="1.25"/>
    <n v="2425"/>
  </r>
  <r>
    <x v="1"/>
    <n v="562962"/>
    <x v="4"/>
    <n v="2436"/>
    <x v="3"/>
    <n v="1"/>
    <x v="3"/>
    <x v="0"/>
    <n v="3"/>
    <n v="1.75"/>
    <n v="4263"/>
    <n v="1.4"/>
    <n v="7308"/>
    <n v="1.25"/>
    <n v="3045"/>
  </r>
  <r>
    <x v="3"/>
    <n v="451947"/>
    <x v="4"/>
    <n v="808"/>
    <x v="3"/>
    <n v="1"/>
    <x v="3"/>
    <x v="0"/>
    <n v="3"/>
    <n v="1.75"/>
    <n v="1414"/>
    <n v="1.4"/>
    <n v="2424"/>
    <n v="1.25"/>
    <n v="1010"/>
  </r>
  <r>
    <x v="2"/>
    <n v="366080"/>
    <x v="4"/>
    <n v="1870"/>
    <x v="3"/>
    <n v="1"/>
    <x v="3"/>
    <x v="0"/>
    <n v="3"/>
    <n v="1.75"/>
    <n v="3272.5"/>
    <n v="1.4"/>
    <n v="5610"/>
    <n v="1.25"/>
    <n v="2337.5"/>
  </r>
  <r>
    <x v="1"/>
    <n v="510933"/>
    <x v="4"/>
    <n v="1281"/>
    <x v="3"/>
    <n v="1"/>
    <x v="3"/>
    <x v="0"/>
    <n v="3"/>
    <n v="1.75"/>
    <n v="2241.75"/>
    <n v="1.4"/>
    <n v="3843"/>
    <n v="1.25"/>
    <n v="1601.25"/>
  </r>
  <r>
    <x v="1"/>
    <n v="214845"/>
    <x v="5"/>
    <n v="544"/>
    <x v="3"/>
    <n v="1"/>
    <x v="3"/>
    <x v="0"/>
    <n v="6"/>
    <n v="3.25"/>
    <n v="1768"/>
    <n v="1.1818181818181819"/>
    <n v="3264"/>
    <n v="2.75"/>
    <n v="1496"/>
  </r>
  <r>
    <x v="4"/>
    <n v="234670"/>
    <x v="5"/>
    <n v="1033"/>
    <x v="3"/>
    <n v="1"/>
    <x v="3"/>
    <x v="0"/>
    <n v="6"/>
    <n v="3.25"/>
    <n v="3357.25"/>
    <n v="1.1818181818181819"/>
    <n v="6198"/>
    <n v="2.75"/>
    <n v="2840.75"/>
  </r>
  <r>
    <x v="2"/>
    <n v="562718"/>
    <x v="5"/>
    <n v="1421"/>
    <x v="3"/>
    <n v="1"/>
    <x v="3"/>
    <x v="0"/>
    <n v="6"/>
    <n v="3.25"/>
    <n v="4618.25"/>
    <n v="1.1818181818181819"/>
    <n v="8526"/>
    <n v="2.75"/>
    <n v="3907.75"/>
  </r>
  <r>
    <x v="3"/>
    <n v="629523"/>
    <x v="5"/>
    <n v="588"/>
    <x v="3"/>
    <n v="1"/>
    <x v="3"/>
    <x v="0"/>
    <n v="6"/>
    <n v="3.25"/>
    <n v="1911"/>
    <n v="1.1818181818181819"/>
    <n v="3528"/>
    <n v="2.75"/>
    <n v="1617"/>
  </r>
  <r>
    <x v="2"/>
    <n v="482625"/>
    <x v="5"/>
    <n v="1916"/>
    <x v="3"/>
    <n v="1"/>
    <x v="3"/>
    <x v="0"/>
    <n v="6"/>
    <n v="3.25"/>
    <n v="6227"/>
    <n v="1.1818181818181819"/>
    <n v="11496"/>
    <n v="2.75"/>
    <n v="5269"/>
  </r>
  <r>
    <x v="4"/>
    <n v="727940"/>
    <x v="5"/>
    <n v="2438"/>
    <x v="3"/>
    <n v="1"/>
    <x v="3"/>
    <x v="0"/>
    <n v="6"/>
    <n v="3.25"/>
    <n v="7923.5"/>
    <n v="1.1818181818181819"/>
    <n v="14628"/>
    <n v="2.75"/>
    <n v="6704.5"/>
  </r>
  <r>
    <x v="4"/>
    <n v="361305"/>
    <x v="0"/>
    <n v="3945"/>
    <x v="4"/>
    <n v="1"/>
    <x v="4"/>
    <x v="1"/>
    <n v="5"/>
    <n v="3"/>
    <n v="11835"/>
    <n v="1.5"/>
    <n v="19725"/>
    <n v="2"/>
    <n v="7890"/>
  </r>
  <r>
    <x v="2"/>
    <n v="859158"/>
    <x v="0"/>
    <n v="2434.5"/>
    <x v="4"/>
    <n v="1"/>
    <x v="4"/>
    <x v="1"/>
    <n v="5"/>
    <n v="3"/>
    <n v="7303.5"/>
    <n v="1.5"/>
    <n v="12172.5"/>
    <n v="2"/>
    <n v="4869"/>
  </r>
  <r>
    <x v="3"/>
    <n v="239419"/>
    <x v="0"/>
    <n v="4251"/>
    <x v="4"/>
    <n v="1"/>
    <x v="4"/>
    <x v="1"/>
    <n v="5"/>
    <n v="3"/>
    <n v="12753"/>
    <n v="1.5"/>
    <n v="21255"/>
    <n v="2"/>
    <n v="8502"/>
  </r>
  <r>
    <x v="0"/>
    <n v="631270"/>
    <x v="0"/>
    <n v="1372"/>
    <x v="4"/>
    <n v="1"/>
    <x v="4"/>
    <x v="1"/>
    <n v="5"/>
    <n v="3"/>
    <n v="4116"/>
    <n v="1.5"/>
    <n v="6860"/>
    <n v="2"/>
    <n v="2744"/>
  </r>
  <r>
    <x v="2"/>
    <n v="334678"/>
    <x v="0"/>
    <n v="2565"/>
    <x v="4"/>
    <n v="1"/>
    <x v="4"/>
    <x v="1"/>
    <n v="5"/>
    <n v="3"/>
    <n v="7695"/>
    <n v="1.5"/>
    <n v="12825"/>
    <n v="2"/>
    <n v="5130"/>
  </r>
  <r>
    <x v="1"/>
    <n v="527753"/>
    <x v="0"/>
    <n v="2417"/>
    <x v="4"/>
    <n v="1"/>
    <x v="4"/>
    <x v="1"/>
    <n v="5"/>
    <n v="3"/>
    <n v="7251"/>
    <n v="1.5"/>
    <n v="12085"/>
    <n v="2"/>
    <n v="4834"/>
  </r>
  <r>
    <x v="3"/>
    <n v="103317"/>
    <x v="0"/>
    <n v="873"/>
    <x v="4"/>
    <n v="1"/>
    <x v="4"/>
    <x v="1"/>
    <n v="5"/>
    <n v="3"/>
    <n v="2619"/>
    <n v="1.5"/>
    <n v="4365"/>
    <n v="2"/>
    <n v="1746"/>
  </r>
  <r>
    <x v="2"/>
    <n v="628402"/>
    <x v="0"/>
    <n v="3495"/>
    <x v="4"/>
    <n v="1"/>
    <x v="4"/>
    <x v="1"/>
    <n v="5"/>
    <n v="3"/>
    <n v="10485"/>
    <n v="1.5"/>
    <n v="17475"/>
    <n v="2"/>
    <n v="6990"/>
  </r>
  <r>
    <x v="3"/>
    <n v="710711"/>
    <x v="0"/>
    <n v="1438.5"/>
    <x v="4"/>
    <n v="1"/>
    <x v="4"/>
    <x v="1"/>
    <n v="5"/>
    <n v="3"/>
    <n v="4315.5"/>
    <n v="1.5"/>
    <n v="7192.5"/>
    <n v="2"/>
    <n v="2877"/>
  </r>
  <r>
    <x v="1"/>
    <n v="608863"/>
    <x v="0"/>
    <n v="807"/>
    <x v="4"/>
    <n v="1"/>
    <x v="4"/>
    <x v="1"/>
    <n v="5"/>
    <n v="3"/>
    <n v="2421"/>
    <n v="1.5"/>
    <n v="4035"/>
    <n v="2"/>
    <n v="1614"/>
  </r>
  <r>
    <x v="3"/>
    <n v="779079"/>
    <x v="1"/>
    <n v="1384.5"/>
    <x v="4"/>
    <n v="1"/>
    <x v="4"/>
    <x v="1"/>
    <n v="1"/>
    <n v="0.5"/>
    <n v="692.25"/>
    <n v="1"/>
    <n v="1384.5"/>
    <n v="0.5"/>
    <n v="692.25"/>
  </r>
  <r>
    <x v="2"/>
    <n v="336365"/>
    <x v="1"/>
    <n v="2340"/>
    <x v="4"/>
    <n v="1"/>
    <x v="4"/>
    <x v="1"/>
    <n v="1"/>
    <n v="0.5"/>
    <n v="1170"/>
    <n v="1"/>
    <n v="2340"/>
    <n v="0.5"/>
    <n v="1170"/>
  </r>
  <r>
    <x v="1"/>
    <n v="121208"/>
    <x v="1"/>
    <n v="766"/>
    <x v="4"/>
    <n v="1"/>
    <x v="4"/>
    <x v="1"/>
    <n v="1"/>
    <n v="0.5"/>
    <n v="383"/>
    <n v="1"/>
    <n v="766"/>
    <n v="0.5"/>
    <n v="383"/>
  </r>
  <r>
    <x v="0"/>
    <n v="348844"/>
    <x v="1"/>
    <n v="982.5"/>
    <x v="4"/>
    <n v="1"/>
    <x v="4"/>
    <x v="1"/>
    <n v="1"/>
    <n v="0.5"/>
    <n v="491.25"/>
    <n v="1"/>
    <n v="982.5"/>
    <n v="0.5"/>
    <n v="491.25"/>
  </r>
  <r>
    <x v="1"/>
    <n v="529423"/>
    <x v="1"/>
    <n v="2227.5"/>
    <x v="4"/>
    <n v="1"/>
    <x v="4"/>
    <x v="1"/>
    <n v="1"/>
    <n v="0.5"/>
    <n v="1113.75"/>
    <n v="1"/>
    <n v="2227.5"/>
    <n v="0.5"/>
    <n v="1113.75"/>
  </r>
  <r>
    <x v="4"/>
    <n v="131249"/>
    <x v="2"/>
    <n v="1987.5"/>
    <x v="4"/>
    <n v="1"/>
    <x v="4"/>
    <x v="1"/>
    <n v="5"/>
    <n v="2.8"/>
    <n v="5565"/>
    <n v="1.2727272727272727"/>
    <n v="9937.5"/>
    <n v="2.2000000000000002"/>
    <n v="4372.5"/>
  </r>
  <r>
    <x v="4"/>
    <n v="884057"/>
    <x v="2"/>
    <n v="579"/>
    <x v="4"/>
    <n v="1"/>
    <x v="4"/>
    <x v="1"/>
    <n v="5"/>
    <n v="2.8"/>
    <n v="1621.1999999999998"/>
    <n v="1.2727272727272725"/>
    <n v="2895"/>
    <n v="2.2000000000000002"/>
    <n v="1273.8000000000002"/>
  </r>
  <r>
    <x v="3"/>
    <n v="382237"/>
    <x v="2"/>
    <n v="3165"/>
    <x v="4"/>
    <n v="1"/>
    <x v="4"/>
    <x v="1"/>
    <n v="5"/>
    <n v="2.8"/>
    <n v="8862"/>
    <n v="1.2727272727272725"/>
    <n v="15825"/>
    <n v="2.2000000000000002"/>
    <n v="6963.0000000000009"/>
  </r>
  <r>
    <x v="4"/>
    <n v="424398"/>
    <x v="2"/>
    <n v="2629"/>
    <x v="4"/>
    <n v="1"/>
    <x v="4"/>
    <x v="1"/>
    <n v="5"/>
    <n v="2.8"/>
    <n v="7361.2"/>
    <n v="1.2727272727272727"/>
    <n v="13145"/>
    <n v="2.2000000000000002"/>
    <n v="5783.8"/>
  </r>
  <r>
    <x v="0"/>
    <n v="665489"/>
    <x v="2"/>
    <n v="1659"/>
    <x v="4"/>
    <n v="1"/>
    <x v="4"/>
    <x v="1"/>
    <n v="5"/>
    <n v="2.8"/>
    <n v="4645.2"/>
    <n v="1.2727272727272727"/>
    <n v="8295"/>
    <n v="2.2000000000000002"/>
    <n v="3649.8"/>
  </r>
  <r>
    <x v="0"/>
    <n v="194906"/>
    <x v="3"/>
    <n v="1618.5"/>
    <x v="4"/>
    <n v="1"/>
    <x v="4"/>
    <x v="1"/>
    <n v="4"/>
    <n v="2.5"/>
    <n v="4046.25"/>
    <n v="1.6666666666666667"/>
    <n v="6474"/>
    <n v="1.5"/>
    <n v="2427.75"/>
  </r>
  <r>
    <x v="4"/>
    <n v="858867"/>
    <x v="3"/>
    <n v="1321"/>
    <x v="4"/>
    <n v="1"/>
    <x v="4"/>
    <x v="1"/>
    <n v="4"/>
    <n v="2.5"/>
    <n v="3302.5"/>
    <n v="1.6666666666666667"/>
    <n v="5284"/>
    <n v="1.5"/>
    <n v="1981.5"/>
  </r>
  <r>
    <x v="4"/>
    <n v="137994"/>
    <x v="3"/>
    <n v="1117.5"/>
    <x v="4"/>
    <n v="1"/>
    <x v="4"/>
    <x v="1"/>
    <n v="4"/>
    <n v="2.5"/>
    <n v="2793.75"/>
    <n v="1.6666666666666667"/>
    <n v="4470"/>
    <n v="1.5"/>
    <n v="1676.25"/>
  </r>
  <r>
    <x v="3"/>
    <n v="728960"/>
    <x v="3"/>
    <n v="2521.5"/>
    <x v="4"/>
    <n v="1"/>
    <x v="4"/>
    <x v="1"/>
    <n v="4"/>
    <n v="2.5"/>
    <n v="6303.75"/>
    <n v="1.6666666666666667"/>
    <n v="10086"/>
    <n v="1.5"/>
    <n v="3782.25"/>
  </r>
  <r>
    <x v="2"/>
    <n v="444395"/>
    <x v="4"/>
    <n v="2479"/>
    <x v="4"/>
    <n v="1"/>
    <x v="4"/>
    <x v="1"/>
    <n v="3"/>
    <n v="1.75"/>
    <n v="4338.25"/>
    <n v="1.4"/>
    <n v="7437"/>
    <n v="1.25"/>
    <n v="3098.75"/>
  </r>
  <r>
    <x v="1"/>
    <n v="617395"/>
    <x v="4"/>
    <n v="3244.5"/>
    <x v="4"/>
    <n v="1"/>
    <x v="4"/>
    <x v="1"/>
    <n v="3"/>
    <n v="1.75"/>
    <n v="5677.875"/>
    <n v="1.4"/>
    <n v="9733.5"/>
    <n v="1.25"/>
    <n v="4055.625"/>
  </r>
  <r>
    <x v="2"/>
    <n v="462436"/>
    <x v="4"/>
    <n v="1956"/>
    <x v="4"/>
    <n v="1"/>
    <x v="4"/>
    <x v="1"/>
    <n v="3"/>
    <n v="1.75"/>
    <n v="3423"/>
    <n v="1.4"/>
    <n v="5868"/>
    <n v="1.25"/>
    <n v="2445"/>
  </r>
  <r>
    <x v="2"/>
    <n v="153144"/>
    <x v="4"/>
    <n v="1734"/>
    <x v="4"/>
    <n v="1"/>
    <x v="4"/>
    <x v="1"/>
    <n v="3"/>
    <n v="1.75"/>
    <n v="3034.5"/>
    <n v="1.4"/>
    <n v="5202"/>
    <n v="1.25"/>
    <n v="2167.5"/>
  </r>
  <r>
    <x v="3"/>
    <n v="878522"/>
    <x v="4"/>
    <n v="554"/>
    <x v="4"/>
    <n v="1"/>
    <x v="4"/>
    <x v="1"/>
    <n v="3"/>
    <n v="1.75"/>
    <n v="969.5"/>
    <n v="1.4"/>
    <n v="1662"/>
    <n v="1.25"/>
    <n v="692.5"/>
  </r>
  <r>
    <x v="2"/>
    <n v="616386"/>
    <x v="5"/>
    <n v="1493"/>
    <x v="4"/>
    <n v="1"/>
    <x v="4"/>
    <x v="1"/>
    <n v="6"/>
    <n v="3.25"/>
    <n v="4852.25"/>
    <n v="1.1818181818181819"/>
    <n v="8958"/>
    <n v="2.75"/>
    <n v="4105.75"/>
  </r>
  <r>
    <x v="0"/>
    <n v="197116"/>
    <x v="5"/>
    <n v="555"/>
    <x v="4"/>
    <n v="1"/>
    <x v="4"/>
    <x v="1"/>
    <n v="6"/>
    <n v="3.25"/>
    <n v="1803.75"/>
    <n v="1.1818181818181819"/>
    <n v="3330"/>
    <n v="2.75"/>
    <n v="1526.25"/>
  </r>
  <r>
    <x v="1"/>
    <n v="165918"/>
    <x v="5"/>
    <n v="2861"/>
    <x v="4"/>
    <n v="1"/>
    <x v="4"/>
    <x v="1"/>
    <n v="6"/>
    <n v="3.25"/>
    <n v="9298.25"/>
    <n v="1.1818181818181819"/>
    <n v="17166"/>
    <n v="2.75"/>
    <n v="7867.75"/>
  </r>
  <r>
    <x v="0"/>
    <n v="311475"/>
    <x v="5"/>
    <n v="681"/>
    <x v="4"/>
    <n v="1"/>
    <x v="4"/>
    <x v="1"/>
    <n v="6"/>
    <n v="3.25"/>
    <n v="2213.25"/>
    <n v="1.1818181818181819"/>
    <n v="4086"/>
    <n v="2.75"/>
    <n v="1872.75"/>
  </r>
  <r>
    <x v="3"/>
    <n v="120418"/>
    <x v="5"/>
    <n v="384"/>
    <x v="4"/>
    <n v="1"/>
    <x v="4"/>
    <x v="1"/>
    <n v="6"/>
    <n v="3.25"/>
    <n v="1248"/>
    <n v="1.1818181818181819"/>
    <n v="2304"/>
    <n v="2.75"/>
    <n v="1056"/>
  </r>
  <r>
    <x v="3"/>
    <n v="397386"/>
    <x v="5"/>
    <n v="3997.5"/>
    <x v="4"/>
    <n v="1"/>
    <x v="4"/>
    <x v="1"/>
    <n v="6"/>
    <n v="3.25"/>
    <n v="12991.875"/>
    <n v="1.1818181818181819"/>
    <n v="23985"/>
    <n v="2.75"/>
    <n v="10993.125"/>
  </r>
  <r>
    <x v="3"/>
    <n v="266868"/>
    <x v="0"/>
    <n v="292"/>
    <x v="5"/>
    <n v="1"/>
    <x v="5"/>
    <x v="1"/>
    <n v="5"/>
    <n v="3"/>
    <n v="876"/>
    <n v="1.5"/>
    <n v="1460"/>
    <n v="2"/>
    <n v="584"/>
  </r>
  <r>
    <x v="3"/>
    <n v="140794"/>
    <x v="0"/>
    <n v="974"/>
    <x v="5"/>
    <n v="1"/>
    <x v="5"/>
    <x v="1"/>
    <n v="5"/>
    <n v="3"/>
    <n v="2922"/>
    <n v="1.5"/>
    <n v="4870"/>
    <n v="2"/>
    <n v="1948"/>
  </r>
  <r>
    <x v="4"/>
    <n v="579016"/>
    <x v="0"/>
    <n v="2296"/>
    <x v="5"/>
    <n v="1"/>
    <x v="5"/>
    <x v="1"/>
    <n v="5"/>
    <n v="3"/>
    <n v="6888"/>
    <n v="1.5"/>
    <n v="11480"/>
    <n v="2"/>
    <n v="4592"/>
  </r>
  <r>
    <x v="3"/>
    <n v="562219"/>
    <x v="0"/>
    <n v="1514"/>
    <x v="5"/>
    <n v="1"/>
    <x v="5"/>
    <x v="1"/>
    <n v="5"/>
    <n v="3"/>
    <n v="4542"/>
    <n v="1.5"/>
    <n v="7570"/>
    <n v="2"/>
    <n v="3028"/>
  </r>
  <r>
    <x v="4"/>
    <n v="550816"/>
    <x v="0"/>
    <n v="2363"/>
    <x v="5"/>
    <n v="1"/>
    <x v="5"/>
    <x v="1"/>
    <n v="5"/>
    <n v="3"/>
    <n v="7089"/>
    <n v="1.5"/>
    <n v="11815"/>
    <n v="2"/>
    <n v="4726"/>
  </r>
  <r>
    <x v="1"/>
    <n v="833644"/>
    <x v="0"/>
    <n v="1303"/>
    <x v="5"/>
    <n v="1"/>
    <x v="5"/>
    <x v="1"/>
    <n v="5"/>
    <n v="3"/>
    <n v="3909"/>
    <n v="1.5"/>
    <n v="6515"/>
    <n v="2"/>
    <n v="2606"/>
  </r>
  <r>
    <x v="3"/>
    <n v="388978"/>
    <x v="0"/>
    <n v="2641"/>
    <x v="5"/>
    <n v="1"/>
    <x v="5"/>
    <x v="1"/>
    <n v="5"/>
    <n v="3"/>
    <n v="7923"/>
    <n v="1.5"/>
    <n v="13205"/>
    <n v="2"/>
    <n v="5282"/>
  </r>
  <r>
    <x v="2"/>
    <n v="209116"/>
    <x v="0"/>
    <n v="2708"/>
    <x v="5"/>
    <n v="1"/>
    <x v="5"/>
    <x v="1"/>
    <n v="5"/>
    <n v="3"/>
    <n v="8124"/>
    <n v="1.5"/>
    <n v="13540"/>
    <n v="2"/>
    <n v="5416"/>
  </r>
  <r>
    <x v="3"/>
    <n v="217341"/>
    <x v="0"/>
    <n v="278"/>
    <x v="5"/>
    <n v="1"/>
    <x v="5"/>
    <x v="1"/>
    <n v="5"/>
    <n v="3"/>
    <n v="834"/>
    <n v="1.5"/>
    <n v="1390"/>
    <n v="2"/>
    <n v="556"/>
  </r>
  <r>
    <x v="3"/>
    <n v="358353"/>
    <x v="0"/>
    <n v="260"/>
    <x v="5"/>
    <n v="1"/>
    <x v="5"/>
    <x v="1"/>
    <n v="5"/>
    <n v="3"/>
    <n v="780"/>
    <n v="1.5"/>
    <n v="1300"/>
    <n v="2"/>
    <n v="520"/>
  </r>
  <r>
    <x v="1"/>
    <n v="570270"/>
    <x v="1"/>
    <n v="1958"/>
    <x v="5"/>
    <n v="1"/>
    <x v="5"/>
    <x v="1"/>
    <n v="1"/>
    <n v="0.5"/>
    <n v="979"/>
    <n v="1"/>
    <n v="1958"/>
    <n v="0.5"/>
    <n v="979"/>
  </r>
  <r>
    <x v="1"/>
    <n v="119754"/>
    <x v="1"/>
    <n v="488"/>
    <x v="5"/>
    <n v="1"/>
    <x v="5"/>
    <x v="1"/>
    <n v="1"/>
    <n v="0.5"/>
    <n v="244"/>
    <n v="1"/>
    <n v="488"/>
    <n v="0.5"/>
    <n v="244"/>
  </r>
  <r>
    <x v="2"/>
    <n v="541297"/>
    <x v="1"/>
    <n v="1298"/>
    <x v="5"/>
    <n v="1"/>
    <x v="5"/>
    <x v="1"/>
    <n v="1"/>
    <n v="0.5"/>
    <n v="649"/>
    <n v="1"/>
    <n v="1298"/>
    <n v="0.5"/>
    <n v="649"/>
  </r>
  <r>
    <x v="4"/>
    <n v="715966"/>
    <x v="1"/>
    <n v="293"/>
    <x v="5"/>
    <n v="1"/>
    <x v="5"/>
    <x v="1"/>
    <n v="1"/>
    <n v="0.5"/>
    <n v="146.5"/>
    <n v="1"/>
    <n v="293"/>
    <n v="0.5"/>
    <n v="146.5"/>
  </r>
  <r>
    <x v="4"/>
    <n v="605154"/>
    <x v="1"/>
    <n v="1368"/>
    <x v="5"/>
    <n v="1"/>
    <x v="5"/>
    <x v="1"/>
    <n v="1"/>
    <n v="0.5"/>
    <n v="684"/>
    <n v="1"/>
    <n v="1368"/>
    <n v="0.5"/>
    <n v="684"/>
  </r>
  <r>
    <x v="3"/>
    <n v="736328"/>
    <x v="2"/>
    <n v="2750"/>
    <x v="5"/>
    <n v="1"/>
    <x v="5"/>
    <x v="1"/>
    <n v="5"/>
    <n v="2.8"/>
    <n v="7699.9999999999991"/>
    <n v="1.2727272727272725"/>
    <n v="13750"/>
    <n v="2.2000000000000002"/>
    <n v="6050.0000000000009"/>
  </r>
  <r>
    <x v="4"/>
    <n v="283163"/>
    <x v="2"/>
    <n v="1865"/>
    <x v="5"/>
    <n v="1"/>
    <x v="5"/>
    <x v="1"/>
    <n v="5"/>
    <n v="2.8"/>
    <n v="5222"/>
    <n v="1.2727272727272727"/>
    <n v="9325"/>
    <n v="2.2000000000000002"/>
    <n v="4103"/>
  </r>
  <r>
    <x v="3"/>
    <n v="357838"/>
    <x v="2"/>
    <n v="1350"/>
    <x v="5"/>
    <n v="1"/>
    <x v="5"/>
    <x v="1"/>
    <n v="5"/>
    <n v="2.8"/>
    <n v="3779.9999999999995"/>
    <n v="1.2727272727272725"/>
    <n v="6750"/>
    <n v="2.2000000000000002"/>
    <n v="2970.0000000000005"/>
  </r>
  <r>
    <x v="3"/>
    <n v="761022"/>
    <x v="2"/>
    <n v="2240"/>
    <x v="5"/>
    <n v="1"/>
    <x v="5"/>
    <x v="1"/>
    <n v="5"/>
    <n v="2.8"/>
    <n v="6272"/>
    <n v="1.2727272727272727"/>
    <n v="11200"/>
    <n v="2.2000000000000002"/>
    <n v="4928"/>
  </r>
  <r>
    <x v="4"/>
    <n v="531656"/>
    <x v="2"/>
    <n v="270"/>
    <x v="5"/>
    <n v="1"/>
    <x v="5"/>
    <x v="1"/>
    <n v="5"/>
    <n v="2.8"/>
    <n v="756"/>
    <n v="1.2727272727272727"/>
    <n v="1350"/>
    <n v="2.2000000000000002"/>
    <n v="594"/>
  </r>
  <r>
    <x v="3"/>
    <n v="161388"/>
    <x v="3"/>
    <n v="1858"/>
    <x v="5"/>
    <n v="1"/>
    <x v="5"/>
    <x v="1"/>
    <n v="4"/>
    <n v="2.5"/>
    <n v="4645"/>
    <n v="1.6666666666666667"/>
    <n v="7432"/>
    <n v="1.5"/>
    <n v="2787"/>
  </r>
  <r>
    <x v="3"/>
    <n v="449939"/>
    <x v="3"/>
    <n v="1865"/>
    <x v="5"/>
    <n v="1"/>
    <x v="5"/>
    <x v="1"/>
    <n v="4"/>
    <n v="2.5"/>
    <n v="4662.5"/>
    <n v="1.6666666666666667"/>
    <n v="7460"/>
    <n v="1.5"/>
    <n v="2797.5"/>
  </r>
  <r>
    <x v="3"/>
    <n v="787606"/>
    <x v="3"/>
    <n v="1116"/>
    <x v="5"/>
    <n v="1"/>
    <x v="5"/>
    <x v="1"/>
    <n v="4"/>
    <n v="2.5"/>
    <n v="2790"/>
    <n v="1.6666666666666667"/>
    <n v="4464"/>
    <n v="1.5"/>
    <n v="1674"/>
  </r>
  <r>
    <x v="1"/>
    <n v="421883"/>
    <x v="3"/>
    <n v="727"/>
    <x v="5"/>
    <n v="1"/>
    <x v="5"/>
    <x v="1"/>
    <n v="4"/>
    <n v="2.5"/>
    <n v="1817.5"/>
    <n v="1.6666666666666667"/>
    <n v="2908"/>
    <n v="1.5"/>
    <n v="1090.5"/>
  </r>
  <r>
    <x v="0"/>
    <n v="241164"/>
    <x v="3"/>
    <n v="1937"/>
    <x v="5"/>
    <n v="1"/>
    <x v="5"/>
    <x v="1"/>
    <n v="4"/>
    <n v="2.5"/>
    <n v="4842.5"/>
    <n v="1.6666666666666667"/>
    <n v="7748"/>
    <n v="1.5"/>
    <n v="2905.5"/>
  </r>
  <r>
    <x v="3"/>
    <n v="793118"/>
    <x v="4"/>
    <n v="2001"/>
    <x v="5"/>
    <n v="1"/>
    <x v="5"/>
    <x v="1"/>
    <n v="3"/>
    <n v="1.75"/>
    <n v="3501.75"/>
    <n v="1.4"/>
    <n v="6003"/>
    <n v="1.25"/>
    <n v="2501.25"/>
  </r>
  <r>
    <x v="0"/>
    <n v="632111"/>
    <x v="4"/>
    <n v="2844"/>
    <x v="5"/>
    <n v="1"/>
    <x v="5"/>
    <x v="1"/>
    <n v="3"/>
    <n v="1.75"/>
    <n v="4977"/>
    <n v="1.4"/>
    <n v="8532"/>
    <n v="1.25"/>
    <n v="3555"/>
  </r>
  <r>
    <x v="1"/>
    <n v="619210"/>
    <x v="4"/>
    <n v="959"/>
    <x v="5"/>
    <n v="1"/>
    <x v="5"/>
    <x v="1"/>
    <n v="3"/>
    <n v="1.75"/>
    <n v="1678.25"/>
    <n v="1.4"/>
    <n v="2877"/>
    <n v="1.25"/>
    <n v="1198.75"/>
  </r>
  <r>
    <x v="1"/>
    <n v="210209"/>
    <x v="4"/>
    <n v="2747"/>
    <x v="5"/>
    <n v="1"/>
    <x v="5"/>
    <x v="1"/>
    <n v="3"/>
    <n v="1.75"/>
    <n v="4807.25"/>
    <n v="1.4"/>
    <n v="8241"/>
    <n v="1.25"/>
    <n v="3433.75"/>
  </r>
  <r>
    <x v="1"/>
    <n v="184366"/>
    <x v="4"/>
    <n v="2659"/>
    <x v="5"/>
    <n v="1"/>
    <x v="5"/>
    <x v="1"/>
    <n v="3"/>
    <n v="1.75"/>
    <n v="4653.25"/>
    <n v="1.4"/>
    <n v="7977"/>
    <n v="1.25"/>
    <n v="3323.75"/>
  </r>
  <r>
    <x v="4"/>
    <n v="775360"/>
    <x v="5"/>
    <n v="1804"/>
    <x v="5"/>
    <n v="1"/>
    <x v="5"/>
    <x v="1"/>
    <n v="6"/>
    <n v="3.25"/>
    <n v="5863"/>
    <n v="1.1818181818181819"/>
    <n v="10824"/>
    <n v="2.75"/>
    <n v="4961"/>
  </r>
  <r>
    <x v="2"/>
    <n v="666752"/>
    <x v="5"/>
    <n v="807"/>
    <x v="5"/>
    <n v="1"/>
    <x v="5"/>
    <x v="1"/>
    <n v="6"/>
    <n v="3.25"/>
    <n v="2622.75"/>
    <n v="1.1818181818181819"/>
    <n v="4842"/>
    <n v="2.75"/>
    <n v="2219.25"/>
  </r>
  <r>
    <x v="4"/>
    <n v="730844"/>
    <x v="5"/>
    <n v="952"/>
    <x v="5"/>
    <n v="1"/>
    <x v="5"/>
    <x v="1"/>
    <n v="6"/>
    <n v="3.25"/>
    <n v="3094"/>
    <n v="1.1818181818181819"/>
    <n v="5712"/>
    <n v="2.75"/>
    <n v="2618"/>
  </r>
  <r>
    <x v="3"/>
    <n v="218006"/>
    <x v="5"/>
    <n v="2755"/>
    <x v="5"/>
    <n v="1"/>
    <x v="5"/>
    <x v="1"/>
    <n v="6"/>
    <n v="3.25"/>
    <n v="8953.75"/>
    <n v="1.1818181818181819"/>
    <n v="16530"/>
    <n v="2.75"/>
    <n v="7576.25"/>
  </r>
  <r>
    <x v="0"/>
    <n v="674043"/>
    <x v="5"/>
    <n v="1575"/>
    <x v="5"/>
    <n v="1"/>
    <x v="5"/>
    <x v="1"/>
    <n v="6"/>
    <n v="3.25"/>
    <n v="5118.75"/>
    <n v="1.1818181818181819"/>
    <n v="9450"/>
    <n v="2.75"/>
    <n v="4331.25"/>
  </r>
  <r>
    <x v="0"/>
    <n v="779279"/>
    <x v="0"/>
    <n v="1774"/>
    <x v="6"/>
    <n v="1"/>
    <x v="6"/>
    <x v="1"/>
    <n v="5"/>
    <n v="3"/>
    <n v="5322"/>
    <n v="1.5"/>
    <n v="8870"/>
    <n v="2"/>
    <n v="3548"/>
  </r>
  <r>
    <x v="2"/>
    <n v="776513"/>
    <x v="0"/>
    <n v="795"/>
    <x v="6"/>
    <n v="1"/>
    <x v="6"/>
    <x v="1"/>
    <n v="5"/>
    <n v="3"/>
    <n v="2385"/>
    <n v="1.5"/>
    <n v="3975"/>
    <n v="2"/>
    <n v="1590"/>
  </r>
  <r>
    <x v="3"/>
    <n v="508782"/>
    <x v="0"/>
    <n v="2992"/>
    <x v="6"/>
    <n v="1"/>
    <x v="6"/>
    <x v="1"/>
    <n v="5"/>
    <n v="3"/>
    <n v="8976"/>
    <n v="1.5"/>
    <n v="14960"/>
    <n v="2"/>
    <n v="5984"/>
  </r>
  <r>
    <x v="4"/>
    <n v="726489"/>
    <x v="0"/>
    <n v="2385"/>
    <x v="6"/>
    <n v="1"/>
    <x v="6"/>
    <x v="1"/>
    <n v="5"/>
    <n v="3"/>
    <n v="7155"/>
    <n v="1.5"/>
    <n v="11925"/>
    <n v="2"/>
    <n v="4770"/>
  </r>
  <r>
    <x v="4"/>
    <n v="686090"/>
    <x v="0"/>
    <n v="1114"/>
    <x v="6"/>
    <n v="1"/>
    <x v="6"/>
    <x v="1"/>
    <n v="5"/>
    <n v="3"/>
    <n v="3342"/>
    <n v="1.5"/>
    <n v="5570"/>
    <n v="2"/>
    <n v="2228"/>
  </r>
  <r>
    <x v="1"/>
    <n v="123431"/>
    <x v="0"/>
    <n v="973"/>
    <x v="6"/>
    <n v="1"/>
    <x v="6"/>
    <x v="1"/>
    <n v="5"/>
    <n v="3"/>
    <n v="2919"/>
    <n v="1.5"/>
    <n v="4865"/>
    <n v="2"/>
    <n v="1946"/>
  </r>
  <r>
    <x v="1"/>
    <n v="761356"/>
    <x v="0"/>
    <n v="1954"/>
    <x v="6"/>
    <n v="1"/>
    <x v="6"/>
    <x v="1"/>
    <n v="5"/>
    <n v="3"/>
    <n v="5862"/>
    <n v="1.5"/>
    <n v="9770"/>
    <n v="2"/>
    <n v="3908"/>
  </r>
  <r>
    <x v="3"/>
    <n v="667288"/>
    <x v="0"/>
    <n v="1122"/>
    <x v="6"/>
    <n v="1"/>
    <x v="6"/>
    <x v="1"/>
    <n v="5"/>
    <n v="3"/>
    <n v="3366"/>
    <n v="1.5"/>
    <n v="5610"/>
    <n v="2"/>
    <n v="2244"/>
  </r>
  <r>
    <x v="4"/>
    <n v="442121"/>
    <x v="0"/>
    <n v="2428"/>
    <x v="6"/>
    <n v="1"/>
    <x v="6"/>
    <x v="1"/>
    <n v="5"/>
    <n v="3"/>
    <n v="7284"/>
    <n v="1.5"/>
    <n v="12140"/>
    <n v="2"/>
    <n v="4856"/>
  </r>
  <r>
    <x v="4"/>
    <n v="690780"/>
    <x v="0"/>
    <n v="1158"/>
    <x v="6"/>
    <n v="1"/>
    <x v="6"/>
    <x v="1"/>
    <n v="5"/>
    <n v="3"/>
    <n v="3474"/>
    <n v="1.5"/>
    <n v="5790"/>
    <n v="2"/>
    <n v="2316"/>
  </r>
  <r>
    <x v="3"/>
    <n v="203604"/>
    <x v="1"/>
    <n v="921"/>
    <x v="6"/>
    <n v="1"/>
    <x v="6"/>
    <x v="1"/>
    <n v="1"/>
    <n v="0.5"/>
    <n v="460.5"/>
    <n v="1"/>
    <n v="921"/>
    <n v="0.5"/>
    <n v="460.5"/>
  </r>
  <r>
    <x v="2"/>
    <n v="353832"/>
    <x v="1"/>
    <n v="2214"/>
    <x v="6"/>
    <n v="1"/>
    <x v="6"/>
    <x v="1"/>
    <n v="1"/>
    <n v="0.5"/>
    <n v="1107"/>
    <n v="1"/>
    <n v="2214"/>
    <n v="0.5"/>
    <n v="1107"/>
  </r>
  <r>
    <x v="4"/>
    <n v="823953"/>
    <x v="1"/>
    <n v="1967"/>
    <x v="6"/>
    <n v="1"/>
    <x v="6"/>
    <x v="1"/>
    <n v="1"/>
    <n v="0.5"/>
    <n v="983.5"/>
    <n v="1"/>
    <n v="1967"/>
    <n v="0.5"/>
    <n v="983.5"/>
  </r>
  <r>
    <x v="2"/>
    <n v="179673"/>
    <x v="1"/>
    <n v="2501"/>
    <x v="6"/>
    <n v="1"/>
    <x v="6"/>
    <x v="1"/>
    <n v="1"/>
    <n v="0.5"/>
    <n v="1250.5"/>
    <n v="1"/>
    <n v="2501"/>
    <n v="0.5"/>
    <n v="1250.5"/>
  </r>
  <r>
    <x v="3"/>
    <n v="517456"/>
    <x v="1"/>
    <n v="677"/>
    <x v="6"/>
    <n v="1"/>
    <x v="6"/>
    <x v="1"/>
    <n v="1"/>
    <n v="0.5"/>
    <n v="338.5"/>
    <n v="1"/>
    <n v="677"/>
    <n v="0.5"/>
    <n v="338.5"/>
  </r>
  <r>
    <x v="3"/>
    <n v="150101"/>
    <x v="2"/>
    <n v="259"/>
    <x v="6"/>
    <n v="1"/>
    <x v="6"/>
    <x v="1"/>
    <n v="5"/>
    <n v="2.8"/>
    <n v="725.19999999999993"/>
    <n v="1.2727272727272725"/>
    <n v="1295"/>
    <n v="2.2000000000000002"/>
    <n v="569.80000000000007"/>
  </r>
  <r>
    <x v="3"/>
    <n v="604462"/>
    <x v="2"/>
    <n v="1101"/>
    <x v="6"/>
    <n v="1"/>
    <x v="6"/>
    <x v="1"/>
    <n v="5"/>
    <n v="2.8"/>
    <n v="3082.7999999999997"/>
    <n v="1.2727272727272725"/>
    <n v="5505"/>
    <n v="2.2000000000000002"/>
    <n v="2422.2000000000003"/>
  </r>
  <r>
    <x v="3"/>
    <n v="215670"/>
    <x v="2"/>
    <n v="2993"/>
    <x v="6"/>
    <n v="1"/>
    <x v="6"/>
    <x v="1"/>
    <n v="5"/>
    <n v="2.8"/>
    <n v="8380.4"/>
    <n v="1.2727272727272727"/>
    <n v="14965"/>
    <n v="2.2000000000000002"/>
    <n v="6584.6"/>
  </r>
  <r>
    <x v="3"/>
    <n v="858624"/>
    <x v="2"/>
    <n v="888"/>
    <x v="6"/>
    <n v="1"/>
    <x v="6"/>
    <x v="1"/>
    <n v="5"/>
    <n v="2.8"/>
    <n v="2486.3999999999996"/>
    <n v="1.2727272727272725"/>
    <n v="4440"/>
    <n v="2.2000000000000002"/>
    <n v="1953.6000000000001"/>
  </r>
  <r>
    <x v="3"/>
    <n v="683349"/>
    <x v="2"/>
    <n v="2475"/>
    <x v="6"/>
    <n v="1"/>
    <x v="6"/>
    <x v="1"/>
    <n v="5"/>
    <n v="2.8"/>
    <n v="6930"/>
    <n v="1.2727272727272727"/>
    <n v="12375"/>
    <n v="2.2000000000000002"/>
    <n v="5445"/>
  </r>
  <r>
    <x v="3"/>
    <n v="103112"/>
    <x v="3"/>
    <n v="1210"/>
    <x v="6"/>
    <n v="1"/>
    <x v="6"/>
    <x v="1"/>
    <n v="4"/>
    <n v="2.5"/>
    <n v="3025"/>
    <n v="1.6666666666666667"/>
    <n v="4840"/>
    <n v="1.5"/>
    <n v="1815"/>
  </r>
  <r>
    <x v="0"/>
    <n v="345233"/>
    <x v="3"/>
    <n v="1761"/>
    <x v="6"/>
    <n v="1"/>
    <x v="6"/>
    <x v="1"/>
    <n v="4"/>
    <n v="2.5"/>
    <n v="4402.5"/>
    <n v="1.6666666666666667"/>
    <n v="7044"/>
    <n v="1.5"/>
    <n v="2641.5"/>
  </r>
  <r>
    <x v="1"/>
    <n v="242657"/>
    <x v="3"/>
    <n v="792"/>
    <x v="6"/>
    <n v="1"/>
    <x v="6"/>
    <x v="1"/>
    <n v="4"/>
    <n v="2.5"/>
    <n v="1980"/>
    <n v="1.6666666666666667"/>
    <n v="3168"/>
    <n v="1.5"/>
    <n v="1188"/>
  </r>
  <r>
    <x v="3"/>
    <n v="602911"/>
    <x v="3"/>
    <n v="923"/>
    <x v="6"/>
    <n v="1"/>
    <x v="6"/>
    <x v="1"/>
    <n v="4"/>
    <n v="2.5"/>
    <n v="2307.5"/>
    <n v="1.6666666666666667"/>
    <n v="3692"/>
    <n v="1.5"/>
    <n v="1384.5"/>
  </r>
  <r>
    <x v="3"/>
    <n v="317699"/>
    <x v="3"/>
    <n v="1790"/>
    <x v="6"/>
    <n v="1"/>
    <x v="6"/>
    <x v="1"/>
    <n v="4"/>
    <n v="2.5"/>
    <n v="4475"/>
    <n v="1.6666666666666667"/>
    <n v="7160"/>
    <n v="1.5"/>
    <n v="2685"/>
  </r>
  <r>
    <x v="1"/>
    <n v="514091"/>
    <x v="4"/>
    <n v="1326"/>
    <x v="6"/>
    <n v="1"/>
    <x v="6"/>
    <x v="1"/>
    <n v="3"/>
    <n v="1.75"/>
    <n v="2320.5"/>
    <n v="1.4"/>
    <n v="3978"/>
    <n v="1.25"/>
    <n v="1657.5"/>
  </r>
  <r>
    <x v="4"/>
    <n v="735280"/>
    <x v="4"/>
    <n v="263"/>
    <x v="6"/>
    <n v="1"/>
    <x v="6"/>
    <x v="1"/>
    <n v="3"/>
    <n v="1.75"/>
    <n v="460.25"/>
    <n v="1.4"/>
    <n v="789"/>
    <n v="1.25"/>
    <n v="328.75"/>
  </r>
  <r>
    <x v="1"/>
    <n v="565067"/>
    <x v="4"/>
    <n v="1579"/>
    <x v="6"/>
    <n v="1"/>
    <x v="6"/>
    <x v="1"/>
    <n v="3"/>
    <n v="1.75"/>
    <n v="2763.25"/>
    <n v="1.4"/>
    <n v="4737"/>
    <n v="1.25"/>
    <n v="1973.75"/>
  </r>
  <r>
    <x v="3"/>
    <n v="138905"/>
    <x v="4"/>
    <n v="1491"/>
    <x v="6"/>
    <n v="1"/>
    <x v="6"/>
    <x v="1"/>
    <n v="3"/>
    <n v="1.75"/>
    <n v="2609.25"/>
    <n v="1.4"/>
    <n v="4473"/>
    <n v="1.25"/>
    <n v="1863.75"/>
  </r>
  <r>
    <x v="2"/>
    <n v="800536"/>
    <x v="4"/>
    <n v="2903"/>
    <x v="6"/>
    <n v="1"/>
    <x v="6"/>
    <x v="1"/>
    <n v="3"/>
    <n v="1.75"/>
    <n v="5080.25"/>
    <n v="1.4"/>
    <n v="8709"/>
    <n v="1.25"/>
    <n v="3628.75"/>
  </r>
  <r>
    <x v="0"/>
    <n v="806592"/>
    <x v="5"/>
    <n v="2161"/>
    <x v="6"/>
    <n v="1"/>
    <x v="6"/>
    <x v="1"/>
    <n v="6"/>
    <n v="3.25"/>
    <n v="7023.25"/>
    <n v="1.1818181818181819"/>
    <n v="12966"/>
    <n v="2.75"/>
    <n v="5942.75"/>
  </r>
  <r>
    <x v="3"/>
    <n v="464499"/>
    <x v="5"/>
    <n v="1465"/>
    <x v="6"/>
    <n v="1"/>
    <x v="6"/>
    <x v="1"/>
    <n v="6"/>
    <n v="3.25"/>
    <n v="4761.25"/>
    <n v="1.1818181818181819"/>
    <n v="8790"/>
    <n v="2.75"/>
    <n v="4028.75"/>
  </r>
  <r>
    <x v="0"/>
    <n v="856865"/>
    <x v="5"/>
    <n v="598"/>
    <x v="6"/>
    <n v="1"/>
    <x v="6"/>
    <x v="1"/>
    <n v="6"/>
    <n v="3.25"/>
    <n v="1943.5"/>
    <n v="1.1818181818181819"/>
    <n v="3588"/>
    <n v="2.75"/>
    <n v="1644.5"/>
  </r>
  <r>
    <x v="2"/>
    <n v="751733"/>
    <x v="5"/>
    <n v="1967"/>
    <x v="6"/>
    <n v="1"/>
    <x v="6"/>
    <x v="1"/>
    <n v="6"/>
    <n v="3.25"/>
    <n v="6392.75"/>
    <n v="1.1818181818181819"/>
    <n v="11802"/>
    <n v="2.75"/>
    <n v="5409.25"/>
  </r>
  <r>
    <x v="0"/>
    <n v="600167"/>
    <x v="5"/>
    <n v="500"/>
    <x v="6"/>
    <n v="1"/>
    <x v="6"/>
    <x v="1"/>
    <n v="6"/>
    <n v="3.25"/>
    <n v="1625"/>
    <n v="1.1818181818181819"/>
    <n v="3000"/>
    <n v="2.75"/>
    <n v="1375"/>
  </r>
  <r>
    <x v="1"/>
    <n v="283378"/>
    <x v="0"/>
    <n v="4492.5"/>
    <x v="7"/>
    <n v="1"/>
    <x v="7"/>
    <x v="1"/>
    <n v="5"/>
    <n v="3"/>
    <n v="13477.5"/>
    <n v="1.5"/>
    <n v="22462.5"/>
    <n v="2"/>
    <n v="8985"/>
  </r>
  <r>
    <x v="4"/>
    <n v="595670"/>
    <x v="0"/>
    <n v="1414.5"/>
    <x v="7"/>
    <n v="1"/>
    <x v="7"/>
    <x v="1"/>
    <n v="5"/>
    <n v="3"/>
    <n v="4243.5"/>
    <n v="1.5"/>
    <n v="7072.5"/>
    <n v="2"/>
    <n v="2829"/>
  </r>
  <r>
    <x v="0"/>
    <n v="218291"/>
    <x v="0"/>
    <n v="1607"/>
    <x v="7"/>
    <n v="1"/>
    <x v="7"/>
    <x v="1"/>
    <n v="5"/>
    <n v="3"/>
    <n v="4821"/>
    <n v="1.5"/>
    <n v="8035"/>
    <n v="2"/>
    <n v="3214"/>
  </r>
  <r>
    <x v="2"/>
    <n v="603195"/>
    <x v="0"/>
    <n v="3801"/>
    <x v="7"/>
    <n v="1"/>
    <x v="7"/>
    <x v="1"/>
    <n v="5"/>
    <n v="3"/>
    <n v="11403"/>
    <n v="1.5"/>
    <n v="19005"/>
    <n v="2"/>
    <n v="7602"/>
  </r>
  <r>
    <x v="3"/>
    <n v="428676"/>
    <x v="0"/>
    <n v="1259"/>
    <x v="7"/>
    <n v="1"/>
    <x v="7"/>
    <x v="1"/>
    <n v="5"/>
    <n v="3"/>
    <n v="3777"/>
    <n v="1.5"/>
    <n v="6295"/>
    <n v="2"/>
    <n v="2518"/>
  </r>
  <r>
    <x v="2"/>
    <n v="643111"/>
    <x v="0"/>
    <n v="3675"/>
    <x v="7"/>
    <n v="1"/>
    <x v="7"/>
    <x v="1"/>
    <n v="5"/>
    <n v="3"/>
    <n v="11025"/>
    <n v="1.5"/>
    <n v="18375"/>
    <n v="2"/>
    <n v="7350"/>
  </r>
  <r>
    <x v="3"/>
    <n v="436809"/>
    <x v="0"/>
    <n v="2532"/>
    <x v="7"/>
    <n v="1"/>
    <x v="7"/>
    <x v="1"/>
    <n v="5"/>
    <n v="3"/>
    <n v="7596"/>
    <n v="1.5"/>
    <n v="12660"/>
    <n v="2"/>
    <n v="5064"/>
  </r>
  <r>
    <x v="3"/>
    <n v="216326"/>
    <x v="0"/>
    <n v="1614"/>
    <x v="7"/>
    <n v="1"/>
    <x v="7"/>
    <x v="1"/>
    <n v="5"/>
    <n v="3"/>
    <n v="4842"/>
    <n v="1.5"/>
    <n v="8070"/>
    <n v="2"/>
    <n v="3228"/>
  </r>
  <r>
    <x v="3"/>
    <n v="844763"/>
    <x v="0"/>
    <n v="2535"/>
    <x v="7"/>
    <n v="1"/>
    <x v="7"/>
    <x v="1"/>
    <n v="5"/>
    <n v="3"/>
    <n v="7605"/>
    <n v="1.5"/>
    <n v="12675"/>
    <n v="2"/>
    <n v="5070"/>
  </r>
  <r>
    <x v="4"/>
    <n v="170761"/>
    <x v="0"/>
    <n v="723"/>
    <x v="7"/>
    <n v="1"/>
    <x v="7"/>
    <x v="1"/>
    <n v="5"/>
    <n v="3"/>
    <n v="2169"/>
    <n v="1.5"/>
    <n v="3615"/>
    <n v="2"/>
    <n v="1446"/>
  </r>
  <r>
    <x v="4"/>
    <n v="142538"/>
    <x v="1"/>
    <n v="2301"/>
    <x v="7"/>
    <n v="1"/>
    <x v="7"/>
    <x v="1"/>
    <n v="1"/>
    <n v="0.5"/>
    <n v="1150.5"/>
    <n v="1"/>
    <n v="2301"/>
    <n v="0.5"/>
    <n v="1150.5"/>
  </r>
  <r>
    <x v="0"/>
    <n v="503244"/>
    <x v="1"/>
    <n v="980"/>
    <x v="7"/>
    <n v="1"/>
    <x v="7"/>
    <x v="1"/>
    <n v="1"/>
    <n v="0.5"/>
    <n v="490"/>
    <n v="1"/>
    <n v="980"/>
    <n v="0.5"/>
    <n v="490"/>
  </r>
  <r>
    <x v="4"/>
    <n v="156617"/>
    <x v="1"/>
    <n v="3802.5"/>
    <x v="7"/>
    <n v="1"/>
    <x v="7"/>
    <x v="1"/>
    <n v="1"/>
    <n v="0.5"/>
    <n v="1901.25"/>
    <n v="1"/>
    <n v="3802.5"/>
    <n v="0.5"/>
    <n v="1901.25"/>
  </r>
  <r>
    <x v="2"/>
    <n v="433556"/>
    <x v="1"/>
    <n v="1773"/>
    <x v="7"/>
    <n v="1"/>
    <x v="7"/>
    <x v="1"/>
    <n v="1"/>
    <n v="0.5"/>
    <n v="886.5"/>
    <n v="1"/>
    <n v="1773"/>
    <n v="0.5"/>
    <n v="886.5"/>
  </r>
  <r>
    <x v="1"/>
    <n v="721311"/>
    <x v="1"/>
    <n v="1199"/>
    <x v="7"/>
    <n v="1"/>
    <x v="7"/>
    <x v="1"/>
    <n v="1"/>
    <n v="0.5"/>
    <n v="599.5"/>
    <n v="1"/>
    <n v="1199"/>
    <n v="0.5"/>
    <n v="599.5"/>
  </r>
  <r>
    <x v="3"/>
    <n v="731074"/>
    <x v="2"/>
    <n v="1953"/>
    <x v="7"/>
    <n v="1"/>
    <x v="7"/>
    <x v="1"/>
    <n v="5"/>
    <n v="2.8"/>
    <n v="5468.4"/>
    <n v="1.2727272727272725"/>
    <n v="9765"/>
    <n v="2.2000000000000002"/>
    <n v="4296.6000000000004"/>
  </r>
  <r>
    <x v="4"/>
    <n v="739483"/>
    <x v="2"/>
    <n v="4219.5"/>
    <x v="7"/>
    <n v="1"/>
    <x v="7"/>
    <x v="1"/>
    <n v="5"/>
    <n v="2.8"/>
    <n v="11814.599999999999"/>
    <n v="1.2727272727272723"/>
    <n v="21097.5"/>
    <n v="2.2000000000000002"/>
    <n v="9282.9000000000015"/>
  </r>
  <r>
    <x v="4"/>
    <n v="558408"/>
    <x v="2"/>
    <n v="1074"/>
    <x v="7"/>
    <n v="1"/>
    <x v="7"/>
    <x v="1"/>
    <n v="5"/>
    <n v="2.8"/>
    <n v="3007.2"/>
    <n v="1.2727272727272725"/>
    <n v="5370"/>
    <n v="2.2000000000000002"/>
    <n v="2362.8000000000002"/>
  </r>
  <r>
    <x v="3"/>
    <n v="272552"/>
    <x v="2"/>
    <n v="3520.5"/>
    <x v="7"/>
    <n v="1"/>
    <x v="7"/>
    <x v="1"/>
    <n v="5"/>
    <n v="2.8"/>
    <n v="9857.4"/>
    <n v="1.2727272727272727"/>
    <n v="17602.5"/>
    <n v="2.2000000000000002"/>
    <n v="7745.1"/>
  </r>
  <r>
    <x v="0"/>
    <n v="178855"/>
    <x v="3"/>
    <n v="742.5"/>
    <x v="7"/>
    <n v="1"/>
    <x v="7"/>
    <x v="1"/>
    <n v="4"/>
    <n v="2.5"/>
    <n v="1856.25"/>
    <n v="1.6666666666666667"/>
    <n v="2970"/>
    <n v="1.5"/>
    <n v="1113.75"/>
  </r>
  <r>
    <x v="4"/>
    <n v="765655"/>
    <x v="3"/>
    <n v="4243.5"/>
    <x v="7"/>
    <n v="1"/>
    <x v="7"/>
    <x v="1"/>
    <n v="4"/>
    <n v="2.5"/>
    <n v="10608.75"/>
    <n v="1.6666666666666667"/>
    <n v="16974"/>
    <n v="1.5"/>
    <n v="6365.25"/>
  </r>
  <r>
    <x v="0"/>
    <n v="732442"/>
    <x v="3"/>
    <n v="2580"/>
    <x v="7"/>
    <n v="1"/>
    <x v="7"/>
    <x v="1"/>
    <n v="4"/>
    <n v="2.5"/>
    <n v="6450"/>
    <n v="1.6666666666666667"/>
    <n v="10320"/>
    <n v="1.5"/>
    <n v="3870"/>
  </r>
  <r>
    <x v="3"/>
    <n v="876370"/>
    <x v="3"/>
    <n v="3445.5"/>
    <x v="7"/>
    <n v="1"/>
    <x v="7"/>
    <x v="1"/>
    <n v="4"/>
    <n v="2.5"/>
    <n v="8613.75"/>
    <n v="1.6666666666666667"/>
    <n v="13782"/>
    <n v="1.5"/>
    <n v="5168.25"/>
  </r>
  <r>
    <x v="4"/>
    <n v="455417"/>
    <x v="3"/>
    <n v="2579"/>
    <x v="7"/>
    <n v="1"/>
    <x v="7"/>
    <x v="1"/>
    <n v="4"/>
    <n v="2.5"/>
    <n v="6447.5"/>
    <n v="1.6666666666666667"/>
    <n v="10316"/>
    <n v="1.5"/>
    <n v="3868.5"/>
  </r>
  <r>
    <x v="3"/>
    <n v="355287"/>
    <x v="4"/>
    <n v="2838"/>
    <x v="7"/>
    <n v="1"/>
    <x v="7"/>
    <x v="1"/>
    <n v="3"/>
    <n v="1.75"/>
    <n v="4966.5"/>
    <n v="1.4"/>
    <n v="8514"/>
    <n v="1.25"/>
    <n v="3547.5"/>
  </r>
  <r>
    <x v="0"/>
    <n v="540473"/>
    <x v="4"/>
    <n v="943.5"/>
    <x v="7"/>
    <n v="1"/>
    <x v="7"/>
    <x v="1"/>
    <n v="3"/>
    <n v="1.75"/>
    <n v="1651.125"/>
    <n v="1.4"/>
    <n v="2830.5"/>
    <n v="1.25"/>
    <n v="1179.375"/>
  </r>
  <r>
    <x v="3"/>
    <n v="703612"/>
    <x v="4"/>
    <n v="1916"/>
    <x v="7"/>
    <n v="1"/>
    <x v="7"/>
    <x v="1"/>
    <n v="3"/>
    <n v="1.75"/>
    <n v="3353"/>
    <n v="1.4"/>
    <n v="5748"/>
    <n v="1.25"/>
    <n v="2395"/>
  </r>
  <r>
    <x v="2"/>
    <n v="361541"/>
    <x v="4"/>
    <n v="1738.5"/>
    <x v="7"/>
    <n v="1"/>
    <x v="7"/>
    <x v="1"/>
    <n v="3"/>
    <n v="1.75"/>
    <n v="3042.375"/>
    <n v="1.4"/>
    <n v="5215.5"/>
    <n v="1.25"/>
    <n v="2173.125"/>
  </r>
  <r>
    <x v="3"/>
    <n v="324307"/>
    <x v="4"/>
    <n v="574.5"/>
    <x v="7"/>
    <n v="1"/>
    <x v="7"/>
    <x v="1"/>
    <n v="3"/>
    <n v="1.75"/>
    <n v="1005.375"/>
    <n v="1.4"/>
    <n v="1723.5"/>
    <n v="1.25"/>
    <n v="718.125"/>
  </r>
  <r>
    <x v="2"/>
    <n v="151130"/>
    <x v="4"/>
    <n v="1351.5"/>
    <x v="7"/>
    <n v="1"/>
    <x v="7"/>
    <x v="1"/>
    <n v="3"/>
    <n v="1.75"/>
    <n v="2365.125"/>
    <n v="1.4"/>
    <n v="4054.5"/>
    <n v="1.25"/>
    <n v="1689.375"/>
  </r>
  <r>
    <x v="1"/>
    <n v="613058"/>
    <x v="5"/>
    <n v="3864"/>
    <x v="7"/>
    <n v="1"/>
    <x v="7"/>
    <x v="1"/>
    <n v="6"/>
    <n v="3.25"/>
    <n v="12558"/>
    <n v="1.1818181818181819"/>
    <n v="23184"/>
    <n v="2.75"/>
    <n v="10626"/>
  </r>
  <r>
    <x v="4"/>
    <n v="766402"/>
    <x v="5"/>
    <n v="3850.5"/>
    <x v="7"/>
    <n v="1"/>
    <x v="7"/>
    <x v="1"/>
    <n v="6"/>
    <n v="3.25"/>
    <n v="12514.125"/>
    <n v="1.1818181818181819"/>
    <n v="23103"/>
    <n v="2.75"/>
    <n v="10588.875"/>
  </r>
  <r>
    <x v="2"/>
    <n v="507202"/>
    <x v="5"/>
    <n v="2628"/>
    <x v="7"/>
    <n v="1"/>
    <x v="7"/>
    <x v="1"/>
    <n v="6"/>
    <n v="3.25"/>
    <n v="8541"/>
    <n v="1.1818181818181819"/>
    <n v="15768"/>
    <n v="2.75"/>
    <n v="7227"/>
  </r>
  <r>
    <x v="4"/>
    <n v="581762"/>
    <x v="5"/>
    <n v="510"/>
    <x v="7"/>
    <n v="1"/>
    <x v="7"/>
    <x v="1"/>
    <n v="6"/>
    <n v="3.25"/>
    <n v="1657.5"/>
    <n v="1.1818181818181819"/>
    <n v="3060"/>
    <n v="2.75"/>
    <n v="1402.5"/>
  </r>
  <r>
    <x v="0"/>
    <n v="349645"/>
    <x v="5"/>
    <n v="606"/>
    <x v="7"/>
    <n v="1"/>
    <x v="7"/>
    <x v="1"/>
    <n v="6"/>
    <n v="3.25"/>
    <n v="1969.5"/>
    <n v="1.1818181818181819"/>
    <n v="3636"/>
    <n v="2.75"/>
    <n v="1666.5"/>
  </r>
  <r>
    <x v="3"/>
    <n v="600124"/>
    <x v="0"/>
    <n v="1030"/>
    <x v="8"/>
    <n v="1"/>
    <x v="8"/>
    <x v="1"/>
    <n v="5"/>
    <n v="3"/>
    <n v="3090"/>
    <n v="1.5"/>
    <n v="5150"/>
    <n v="2"/>
    <n v="2060"/>
  </r>
  <r>
    <x v="1"/>
    <n v="770750"/>
    <x v="0"/>
    <n v="918"/>
    <x v="8"/>
    <n v="1"/>
    <x v="8"/>
    <x v="1"/>
    <n v="5"/>
    <n v="3"/>
    <n v="2754"/>
    <n v="1.5"/>
    <n v="4590"/>
    <n v="2"/>
    <n v="1836"/>
  </r>
  <r>
    <x v="3"/>
    <n v="365463"/>
    <x v="0"/>
    <n v="1728"/>
    <x v="8"/>
    <n v="1"/>
    <x v="8"/>
    <x v="1"/>
    <n v="5"/>
    <n v="3"/>
    <n v="5184"/>
    <n v="1.5"/>
    <n v="8640"/>
    <n v="2"/>
    <n v="3456"/>
  </r>
  <r>
    <x v="3"/>
    <n v="549329"/>
    <x v="0"/>
    <n v="2918"/>
    <x v="8"/>
    <n v="1"/>
    <x v="8"/>
    <x v="1"/>
    <n v="5"/>
    <n v="3"/>
    <n v="8754"/>
    <n v="1.5"/>
    <n v="14590"/>
    <n v="2"/>
    <n v="5836"/>
  </r>
  <r>
    <x v="0"/>
    <n v="779126"/>
    <x v="0"/>
    <n v="2327"/>
    <x v="8"/>
    <n v="1"/>
    <x v="8"/>
    <x v="1"/>
    <n v="5"/>
    <n v="3"/>
    <n v="6981"/>
    <n v="1.5"/>
    <n v="11635"/>
    <n v="2"/>
    <n v="4654"/>
  </r>
  <r>
    <x v="0"/>
    <n v="283491"/>
    <x v="0"/>
    <n v="1702"/>
    <x v="8"/>
    <n v="1"/>
    <x v="8"/>
    <x v="1"/>
    <n v="5"/>
    <n v="3"/>
    <n v="5106"/>
    <n v="1.5"/>
    <n v="8510"/>
    <n v="2"/>
    <n v="3404"/>
  </r>
  <r>
    <x v="2"/>
    <n v="566983"/>
    <x v="0"/>
    <n v="257"/>
    <x v="8"/>
    <n v="1"/>
    <x v="8"/>
    <x v="1"/>
    <n v="5"/>
    <n v="3"/>
    <n v="771"/>
    <n v="1.5"/>
    <n v="1285"/>
    <n v="2"/>
    <n v="514"/>
  </r>
  <r>
    <x v="1"/>
    <n v="278950"/>
    <x v="0"/>
    <n v="1095"/>
    <x v="8"/>
    <n v="1"/>
    <x v="8"/>
    <x v="1"/>
    <n v="5"/>
    <n v="3"/>
    <n v="3285"/>
    <n v="1.5"/>
    <n v="5475"/>
    <n v="2"/>
    <n v="2190"/>
  </r>
  <r>
    <x v="4"/>
    <n v="197639"/>
    <x v="0"/>
    <n v="591"/>
    <x v="8"/>
    <n v="1"/>
    <x v="8"/>
    <x v="1"/>
    <n v="5"/>
    <n v="3"/>
    <n v="1773"/>
    <n v="1.5"/>
    <n v="2955"/>
    <n v="2"/>
    <n v="1182"/>
  </r>
  <r>
    <x v="4"/>
    <n v="251968"/>
    <x v="0"/>
    <n v="2851"/>
    <x v="8"/>
    <n v="1"/>
    <x v="8"/>
    <x v="1"/>
    <n v="5"/>
    <n v="3"/>
    <n v="8553"/>
    <n v="1.5"/>
    <n v="14255"/>
    <n v="2"/>
    <n v="5702"/>
  </r>
  <r>
    <x v="2"/>
    <n v="199458"/>
    <x v="1"/>
    <n v="1460"/>
    <x v="8"/>
    <n v="1"/>
    <x v="8"/>
    <x v="1"/>
    <n v="1"/>
    <n v="0.5"/>
    <n v="730"/>
    <n v="1"/>
    <n v="1460"/>
    <n v="0.5"/>
    <n v="730"/>
  </r>
  <r>
    <x v="2"/>
    <n v="487819"/>
    <x v="1"/>
    <n v="1666"/>
    <x v="8"/>
    <n v="1"/>
    <x v="8"/>
    <x v="1"/>
    <n v="1"/>
    <n v="0.5"/>
    <n v="833"/>
    <n v="1"/>
    <n v="1666"/>
    <n v="0.5"/>
    <n v="833"/>
  </r>
  <r>
    <x v="3"/>
    <n v="561083"/>
    <x v="1"/>
    <n v="2313"/>
    <x v="8"/>
    <n v="1"/>
    <x v="8"/>
    <x v="1"/>
    <n v="1"/>
    <n v="0.5"/>
    <n v="1156.5"/>
    <n v="1"/>
    <n v="2313"/>
    <n v="0.5"/>
    <n v="1156.5"/>
  </r>
  <r>
    <x v="0"/>
    <n v="200053"/>
    <x v="1"/>
    <n v="2661"/>
    <x v="8"/>
    <n v="1"/>
    <x v="8"/>
    <x v="1"/>
    <n v="1"/>
    <n v="0.5"/>
    <n v="1330.5"/>
    <n v="1"/>
    <n v="2661"/>
    <n v="0.5"/>
    <n v="1330.5"/>
  </r>
  <r>
    <x v="2"/>
    <n v="205221"/>
    <x v="1"/>
    <n v="200"/>
    <x v="8"/>
    <n v="1"/>
    <x v="8"/>
    <x v="1"/>
    <n v="1"/>
    <n v="0.5"/>
    <n v="100"/>
    <n v="1"/>
    <n v="200"/>
    <n v="0.5"/>
    <n v="100"/>
  </r>
  <r>
    <x v="4"/>
    <n v="655952"/>
    <x v="2"/>
    <n v="2276"/>
    <x v="8"/>
    <n v="1"/>
    <x v="8"/>
    <x v="1"/>
    <n v="5"/>
    <n v="2.8"/>
    <n v="6372.7999999999993"/>
    <n v="1.2727272727272725"/>
    <n v="11380"/>
    <n v="2.2000000000000002"/>
    <n v="5007.2000000000007"/>
  </r>
  <r>
    <x v="3"/>
    <n v="493427"/>
    <x v="2"/>
    <n v="1645"/>
    <x v="8"/>
    <n v="1"/>
    <x v="8"/>
    <x v="1"/>
    <n v="5"/>
    <n v="2.8"/>
    <n v="4606"/>
    <n v="1.2727272727272725"/>
    <n v="8225"/>
    <n v="2.2000000000000002"/>
    <n v="3619.0000000000005"/>
  </r>
  <r>
    <x v="4"/>
    <n v="120233"/>
    <x v="2"/>
    <n v="2039"/>
    <x v="8"/>
    <n v="1"/>
    <x v="8"/>
    <x v="1"/>
    <n v="5"/>
    <n v="2.8"/>
    <n v="5709.2"/>
    <n v="1.2727272727272727"/>
    <n v="10195"/>
    <n v="2.2000000000000002"/>
    <n v="4485.8"/>
  </r>
  <r>
    <x v="3"/>
    <n v="821698"/>
    <x v="2"/>
    <n v="1433"/>
    <x v="8"/>
    <n v="1"/>
    <x v="8"/>
    <x v="1"/>
    <n v="5"/>
    <n v="2.8"/>
    <n v="4012.3999999999996"/>
    <n v="1.2727272727272725"/>
    <n v="7165"/>
    <n v="2.2000000000000002"/>
    <n v="3152.6000000000004"/>
  </r>
  <r>
    <x v="2"/>
    <n v="374115"/>
    <x v="2"/>
    <n v="2844"/>
    <x v="8"/>
    <n v="1"/>
    <x v="8"/>
    <x v="1"/>
    <n v="5"/>
    <n v="2.8"/>
    <n v="7963.2"/>
    <n v="1.2727272727272727"/>
    <n v="14220"/>
    <n v="2.2000000000000002"/>
    <n v="6256.8"/>
  </r>
  <r>
    <x v="0"/>
    <n v="355733"/>
    <x v="3"/>
    <n v="831"/>
    <x v="8"/>
    <n v="1"/>
    <x v="8"/>
    <x v="1"/>
    <n v="4"/>
    <n v="2.5"/>
    <n v="2077.5"/>
    <n v="1.6666666666666667"/>
    <n v="3324"/>
    <n v="1.5"/>
    <n v="1246.5"/>
  </r>
  <r>
    <x v="2"/>
    <n v="295574"/>
    <x v="3"/>
    <n v="1563"/>
    <x v="8"/>
    <n v="1"/>
    <x v="8"/>
    <x v="1"/>
    <n v="4"/>
    <n v="2.5"/>
    <n v="3907.5"/>
    <n v="1.6666666666666667"/>
    <n v="6252"/>
    <n v="1.5"/>
    <n v="2344.5"/>
  </r>
  <r>
    <x v="1"/>
    <n v="273665"/>
    <x v="3"/>
    <n v="663"/>
    <x v="8"/>
    <n v="1"/>
    <x v="8"/>
    <x v="1"/>
    <n v="4"/>
    <n v="2.5"/>
    <n v="1657.5"/>
    <n v="1.6666666666666667"/>
    <n v="2652"/>
    <n v="1.5"/>
    <n v="994.5"/>
  </r>
  <r>
    <x v="3"/>
    <n v="759484"/>
    <x v="3"/>
    <n v="1743"/>
    <x v="8"/>
    <n v="1"/>
    <x v="8"/>
    <x v="1"/>
    <n v="4"/>
    <n v="2.5"/>
    <n v="4357.5"/>
    <n v="1.6666666666666667"/>
    <n v="6972"/>
    <n v="1.5"/>
    <n v="2614.5"/>
  </r>
  <r>
    <x v="1"/>
    <n v="818048"/>
    <x v="4"/>
    <n v="866"/>
    <x v="8"/>
    <n v="1"/>
    <x v="8"/>
    <x v="1"/>
    <n v="3"/>
    <n v="1.75"/>
    <n v="1515.5"/>
    <n v="1.4"/>
    <n v="2598"/>
    <n v="1.25"/>
    <n v="1082.5"/>
  </r>
  <r>
    <x v="3"/>
    <n v="747194"/>
    <x v="4"/>
    <n v="880"/>
    <x v="8"/>
    <n v="1"/>
    <x v="8"/>
    <x v="1"/>
    <n v="3"/>
    <n v="1.75"/>
    <n v="1540"/>
    <n v="1.4"/>
    <n v="2640"/>
    <n v="1.25"/>
    <n v="1100"/>
  </r>
  <r>
    <x v="1"/>
    <n v="727045"/>
    <x v="4"/>
    <n v="341"/>
    <x v="8"/>
    <n v="1"/>
    <x v="8"/>
    <x v="1"/>
    <n v="3"/>
    <n v="1.75"/>
    <n v="596.75"/>
    <n v="1.4"/>
    <n v="1023"/>
    <n v="1.25"/>
    <n v="426.25"/>
  </r>
  <r>
    <x v="2"/>
    <n v="644843"/>
    <x v="4"/>
    <n v="2109"/>
    <x v="8"/>
    <n v="1"/>
    <x v="8"/>
    <x v="1"/>
    <n v="3"/>
    <n v="1.75"/>
    <n v="3690.75"/>
    <n v="1.4"/>
    <n v="6327"/>
    <n v="1.25"/>
    <n v="2636.25"/>
  </r>
  <r>
    <x v="3"/>
    <n v="559561"/>
    <x v="4"/>
    <n v="1806"/>
    <x v="8"/>
    <n v="1"/>
    <x v="8"/>
    <x v="1"/>
    <n v="3"/>
    <n v="1.75"/>
    <n v="3160.5"/>
    <n v="1.4"/>
    <n v="5418"/>
    <n v="1.25"/>
    <n v="2257.5"/>
  </r>
  <r>
    <x v="0"/>
    <n v="729194"/>
    <x v="5"/>
    <n v="362"/>
    <x v="8"/>
    <n v="1"/>
    <x v="8"/>
    <x v="1"/>
    <n v="6"/>
    <n v="3.25"/>
    <n v="1176.5"/>
    <n v="1.1818181818181819"/>
    <n v="2172"/>
    <n v="2.75"/>
    <n v="995.5"/>
  </r>
  <r>
    <x v="1"/>
    <n v="374150"/>
    <x v="5"/>
    <n v="1530"/>
    <x v="8"/>
    <n v="1"/>
    <x v="8"/>
    <x v="1"/>
    <n v="6"/>
    <n v="3.25"/>
    <n v="4972.5"/>
    <n v="1.1818181818181819"/>
    <n v="9180"/>
    <n v="2.75"/>
    <n v="4207.5"/>
  </r>
  <r>
    <x v="3"/>
    <n v="636371"/>
    <x v="5"/>
    <n v="1262"/>
    <x v="8"/>
    <n v="1"/>
    <x v="8"/>
    <x v="1"/>
    <n v="6"/>
    <n v="3.25"/>
    <n v="4101.5"/>
    <n v="1.1818181818181819"/>
    <n v="7572"/>
    <n v="2.75"/>
    <n v="3470.5"/>
  </r>
  <r>
    <x v="0"/>
    <n v="847731"/>
    <x v="5"/>
    <n v="245"/>
    <x v="8"/>
    <n v="1"/>
    <x v="8"/>
    <x v="1"/>
    <n v="6"/>
    <n v="3.25"/>
    <n v="796.25"/>
    <n v="1.1818181818181819"/>
    <n v="1470"/>
    <n v="2.75"/>
    <n v="673.75"/>
  </r>
  <r>
    <x v="0"/>
    <n v="217808"/>
    <x v="5"/>
    <n v="790"/>
    <x v="8"/>
    <n v="1"/>
    <x v="8"/>
    <x v="1"/>
    <n v="6"/>
    <n v="3.25"/>
    <n v="2567.5"/>
    <n v="1.1818181818181819"/>
    <n v="4740"/>
    <n v="2.75"/>
    <n v="2172.5"/>
  </r>
  <r>
    <x v="3"/>
    <n v="853295"/>
    <x v="5"/>
    <n v="2826"/>
    <x v="8"/>
    <n v="1"/>
    <x v="8"/>
    <x v="1"/>
    <n v="6"/>
    <n v="3.25"/>
    <n v="9184.5"/>
    <n v="1.1818181818181819"/>
    <n v="16956"/>
    <n v="2.75"/>
    <n v="7771.5"/>
  </r>
  <r>
    <x v="3"/>
    <n v="684759"/>
    <x v="0"/>
    <n v="2518"/>
    <x v="9"/>
    <n v="1"/>
    <x v="9"/>
    <x v="1"/>
    <n v="5"/>
    <n v="3"/>
    <n v="7554"/>
    <n v="1.5"/>
    <n v="12590"/>
    <n v="2"/>
    <n v="5036"/>
  </r>
  <r>
    <x v="4"/>
    <n v="640447"/>
    <x v="0"/>
    <n v="1006"/>
    <x v="9"/>
    <n v="1"/>
    <x v="9"/>
    <x v="1"/>
    <n v="5"/>
    <n v="3"/>
    <n v="3018"/>
    <n v="1.5"/>
    <n v="5030"/>
    <n v="2"/>
    <n v="2012"/>
  </r>
  <r>
    <x v="4"/>
    <n v="885205"/>
    <x v="0"/>
    <n v="727"/>
    <x v="9"/>
    <n v="1"/>
    <x v="9"/>
    <x v="1"/>
    <n v="5"/>
    <n v="3"/>
    <n v="2181"/>
    <n v="1.5"/>
    <n v="3635"/>
    <n v="2"/>
    <n v="1454"/>
  </r>
  <r>
    <x v="3"/>
    <n v="387444"/>
    <x v="0"/>
    <n v="787"/>
    <x v="9"/>
    <n v="1"/>
    <x v="9"/>
    <x v="1"/>
    <n v="5"/>
    <n v="3"/>
    <n v="2361"/>
    <n v="1.5"/>
    <n v="3935"/>
    <n v="2"/>
    <n v="1574"/>
  </r>
  <r>
    <x v="0"/>
    <n v="234290"/>
    <x v="0"/>
    <n v="1142"/>
    <x v="9"/>
    <n v="1"/>
    <x v="9"/>
    <x v="1"/>
    <n v="5"/>
    <n v="3"/>
    <n v="3426"/>
    <n v="1.5"/>
    <n v="5710"/>
    <n v="2"/>
    <n v="2284"/>
  </r>
  <r>
    <x v="1"/>
    <n v="847203"/>
    <x v="0"/>
    <n v="662"/>
    <x v="9"/>
    <n v="1"/>
    <x v="9"/>
    <x v="1"/>
    <n v="5"/>
    <n v="3"/>
    <n v="1986"/>
    <n v="1.5"/>
    <n v="3310"/>
    <n v="2"/>
    <n v="1324"/>
  </r>
  <r>
    <x v="0"/>
    <n v="296424"/>
    <x v="0"/>
    <n v="1901"/>
    <x v="9"/>
    <n v="1"/>
    <x v="9"/>
    <x v="1"/>
    <n v="5"/>
    <n v="3"/>
    <n v="5703"/>
    <n v="1.5"/>
    <n v="9505"/>
    <n v="2"/>
    <n v="3802"/>
  </r>
  <r>
    <x v="3"/>
    <n v="578401"/>
    <x v="0"/>
    <n v="689"/>
    <x v="9"/>
    <n v="1"/>
    <x v="9"/>
    <x v="1"/>
    <n v="5"/>
    <n v="3"/>
    <n v="2067"/>
    <n v="1.5"/>
    <n v="3445"/>
    <n v="2"/>
    <n v="1378"/>
  </r>
  <r>
    <x v="3"/>
    <n v="365552"/>
    <x v="0"/>
    <n v="1570"/>
    <x v="9"/>
    <n v="1"/>
    <x v="9"/>
    <x v="1"/>
    <n v="5"/>
    <n v="3"/>
    <n v="4710"/>
    <n v="1.5"/>
    <n v="7850"/>
    <n v="2"/>
    <n v="3140"/>
  </r>
  <r>
    <x v="4"/>
    <n v="560581"/>
    <x v="0"/>
    <n v="991"/>
    <x v="9"/>
    <n v="1"/>
    <x v="9"/>
    <x v="1"/>
    <n v="5"/>
    <n v="3"/>
    <n v="2973"/>
    <n v="1.5"/>
    <n v="4955"/>
    <n v="2"/>
    <n v="1982"/>
  </r>
  <r>
    <x v="2"/>
    <n v="369627"/>
    <x v="0"/>
    <n v="602"/>
    <x v="9"/>
    <n v="1"/>
    <x v="9"/>
    <x v="1"/>
    <n v="5"/>
    <n v="3"/>
    <n v="1806"/>
    <n v="1.5"/>
    <n v="3010"/>
    <n v="2"/>
    <n v="1204"/>
  </r>
  <r>
    <x v="3"/>
    <n v="568366"/>
    <x v="0"/>
    <n v="1496"/>
    <x v="9"/>
    <n v="1"/>
    <x v="9"/>
    <x v="1"/>
    <n v="5"/>
    <n v="3"/>
    <n v="4488"/>
    <n v="1.5"/>
    <n v="7480"/>
    <n v="2"/>
    <n v="2992"/>
  </r>
  <r>
    <x v="0"/>
    <n v="807061"/>
    <x v="0"/>
    <n v="448"/>
    <x v="9"/>
    <n v="1"/>
    <x v="9"/>
    <x v="1"/>
    <n v="5"/>
    <n v="3"/>
    <n v="1344"/>
    <n v="1.5"/>
    <n v="2240"/>
    <n v="2"/>
    <n v="896"/>
  </r>
  <r>
    <x v="3"/>
    <n v="418690"/>
    <x v="0"/>
    <n v="1366"/>
    <x v="9"/>
    <n v="1"/>
    <x v="9"/>
    <x v="1"/>
    <n v="5"/>
    <n v="3"/>
    <n v="4098"/>
    <n v="1.5"/>
    <n v="6830"/>
    <n v="2"/>
    <n v="2732"/>
  </r>
  <r>
    <x v="3"/>
    <n v="496123"/>
    <x v="0"/>
    <n v="2460"/>
    <x v="9"/>
    <n v="1"/>
    <x v="9"/>
    <x v="1"/>
    <n v="5"/>
    <n v="3"/>
    <n v="7380"/>
    <n v="1.5"/>
    <n v="12300"/>
    <n v="2"/>
    <n v="4920"/>
  </r>
  <r>
    <x v="1"/>
    <n v="529578"/>
    <x v="0"/>
    <n v="1094"/>
    <x v="9"/>
    <n v="1"/>
    <x v="9"/>
    <x v="1"/>
    <n v="5"/>
    <n v="3"/>
    <n v="3282"/>
    <n v="1.5"/>
    <n v="5470"/>
    <n v="2"/>
    <n v="2188"/>
  </r>
  <r>
    <x v="4"/>
    <n v="429472"/>
    <x v="0"/>
    <n v="1038"/>
    <x v="9"/>
    <n v="1"/>
    <x v="9"/>
    <x v="1"/>
    <n v="5"/>
    <n v="3"/>
    <n v="3114"/>
    <n v="1.5"/>
    <n v="5190"/>
    <n v="2"/>
    <n v="2076"/>
  </r>
  <r>
    <x v="1"/>
    <n v="249663"/>
    <x v="0"/>
    <n v="886"/>
    <x v="9"/>
    <n v="1"/>
    <x v="9"/>
    <x v="1"/>
    <n v="5"/>
    <n v="3"/>
    <n v="2658"/>
    <n v="1.5"/>
    <n v="4430"/>
    <n v="2"/>
    <n v="1772"/>
  </r>
  <r>
    <x v="2"/>
    <n v="123693"/>
    <x v="0"/>
    <n v="2632"/>
    <x v="9"/>
    <n v="1"/>
    <x v="9"/>
    <x v="1"/>
    <n v="5"/>
    <n v="3"/>
    <n v="7896"/>
    <n v="1.5"/>
    <n v="13160"/>
    <n v="2"/>
    <n v="5264"/>
  </r>
  <r>
    <x v="4"/>
    <n v="670662"/>
    <x v="0"/>
    <n v="1583"/>
    <x v="9"/>
    <n v="1"/>
    <x v="9"/>
    <x v="1"/>
    <n v="5"/>
    <n v="3"/>
    <n v="4749"/>
    <n v="1.5"/>
    <n v="7915"/>
    <n v="2"/>
    <n v="3166"/>
  </r>
  <r>
    <x v="3"/>
    <n v="830805"/>
    <x v="1"/>
    <n v="2518"/>
    <x v="9"/>
    <n v="1"/>
    <x v="9"/>
    <x v="1"/>
    <n v="1"/>
    <n v="0.5"/>
    <n v="1259"/>
    <n v="1"/>
    <n v="2518"/>
    <n v="0.5"/>
    <n v="1259"/>
  </r>
  <r>
    <x v="1"/>
    <n v="138739"/>
    <x v="1"/>
    <n v="1899"/>
    <x v="9"/>
    <n v="1"/>
    <x v="9"/>
    <x v="1"/>
    <n v="1"/>
    <n v="0.5"/>
    <n v="949.5"/>
    <n v="1"/>
    <n v="1899"/>
    <n v="0.5"/>
    <n v="949.5"/>
  </r>
  <r>
    <x v="2"/>
    <n v="830819"/>
    <x v="1"/>
    <n v="1545"/>
    <x v="9"/>
    <n v="1"/>
    <x v="9"/>
    <x v="1"/>
    <n v="1"/>
    <n v="0.5"/>
    <n v="772.5"/>
    <n v="1"/>
    <n v="1545"/>
    <n v="0.5"/>
    <n v="772.5"/>
  </r>
  <r>
    <x v="4"/>
    <n v="249098"/>
    <x v="1"/>
    <n v="2470"/>
    <x v="9"/>
    <n v="1"/>
    <x v="9"/>
    <x v="1"/>
    <n v="1"/>
    <n v="0.5"/>
    <n v="1235"/>
    <n v="1"/>
    <n v="2470"/>
    <n v="0.5"/>
    <n v="1235"/>
  </r>
  <r>
    <x v="3"/>
    <n v="652401"/>
    <x v="1"/>
    <n v="1142"/>
    <x v="9"/>
    <n v="1"/>
    <x v="9"/>
    <x v="1"/>
    <n v="1"/>
    <n v="0.5"/>
    <n v="571"/>
    <n v="1"/>
    <n v="1142"/>
    <n v="0.5"/>
    <n v="571"/>
  </r>
  <r>
    <x v="2"/>
    <n v="445507"/>
    <x v="1"/>
    <n v="1901"/>
    <x v="9"/>
    <n v="1"/>
    <x v="9"/>
    <x v="1"/>
    <n v="1"/>
    <n v="0.5"/>
    <n v="950.5"/>
    <n v="1"/>
    <n v="1901"/>
    <n v="0.5"/>
    <n v="950.5"/>
  </r>
  <r>
    <x v="0"/>
    <n v="173001"/>
    <x v="1"/>
    <n v="1282"/>
    <x v="9"/>
    <n v="1"/>
    <x v="9"/>
    <x v="1"/>
    <n v="1"/>
    <n v="0.5"/>
    <n v="641"/>
    <n v="1"/>
    <n v="1282"/>
    <n v="0.5"/>
    <n v="641"/>
  </r>
  <r>
    <x v="1"/>
    <n v="123331"/>
    <x v="1"/>
    <n v="708"/>
    <x v="9"/>
    <n v="1"/>
    <x v="9"/>
    <x v="1"/>
    <n v="1"/>
    <n v="0.5"/>
    <n v="354"/>
    <n v="1"/>
    <n v="708"/>
    <n v="0.5"/>
    <n v="354"/>
  </r>
  <r>
    <x v="1"/>
    <n v="280321"/>
    <x v="1"/>
    <n v="604"/>
    <x v="9"/>
    <n v="1"/>
    <x v="9"/>
    <x v="1"/>
    <n v="1"/>
    <n v="0.5"/>
    <n v="302"/>
    <n v="1"/>
    <n v="604"/>
    <n v="0.5"/>
    <n v="302"/>
  </r>
  <r>
    <x v="3"/>
    <n v="609228"/>
    <x v="2"/>
    <n v="1899"/>
    <x v="9"/>
    <n v="1"/>
    <x v="9"/>
    <x v="1"/>
    <n v="5"/>
    <n v="2.8"/>
    <n v="5317.2"/>
    <n v="1.2727272727272727"/>
    <n v="9495"/>
    <n v="2.2000000000000002"/>
    <n v="4177.8"/>
  </r>
  <r>
    <x v="1"/>
    <n v="691342"/>
    <x v="2"/>
    <n v="1135"/>
    <x v="9"/>
    <n v="1"/>
    <x v="9"/>
    <x v="1"/>
    <n v="5"/>
    <n v="2.8"/>
    <n v="3178"/>
    <n v="1.2727272727272727"/>
    <n v="5675"/>
    <n v="2.2000000000000002"/>
    <n v="2497"/>
  </r>
  <r>
    <x v="3"/>
    <n v="786700"/>
    <x v="2"/>
    <n v="1282"/>
    <x v="9"/>
    <n v="1"/>
    <x v="9"/>
    <x v="1"/>
    <n v="5"/>
    <n v="2.8"/>
    <n v="3589.6"/>
    <n v="1.2727272727272727"/>
    <n v="6410"/>
    <n v="2.2000000000000002"/>
    <n v="2820.4"/>
  </r>
  <r>
    <x v="4"/>
    <n v="137921"/>
    <x v="2"/>
    <n v="708"/>
    <x v="9"/>
    <n v="1"/>
    <x v="9"/>
    <x v="1"/>
    <n v="5"/>
    <n v="2.8"/>
    <n v="1982.3999999999999"/>
    <n v="1.2727272727272725"/>
    <n v="3540"/>
    <n v="2.2000000000000002"/>
    <n v="1557.6000000000001"/>
  </r>
  <r>
    <x v="3"/>
    <n v="755930"/>
    <x v="2"/>
    <n v="2907"/>
    <x v="9"/>
    <n v="1"/>
    <x v="9"/>
    <x v="1"/>
    <n v="5"/>
    <n v="2.8"/>
    <n v="8139.5999999999995"/>
    <n v="1.2727272727272725"/>
    <n v="14535"/>
    <n v="2.2000000000000002"/>
    <n v="6395.4000000000005"/>
  </r>
  <r>
    <x v="3"/>
    <n v="277131"/>
    <x v="2"/>
    <n v="1366"/>
    <x v="9"/>
    <n v="1"/>
    <x v="9"/>
    <x v="1"/>
    <n v="5"/>
    <n v="2.8"/>
    <n v="3824.7999999999997"/>
    <n v="1.2727272727272725"/>
    <n v="6830"/>
    <n v="2.2000000000000002"/>
    <n v="3005.2000000000003"/>
  </r>
  <r>
    <x v="3"/>
    <n v="235897"/>
    <x v="2"/>
    <n v="2460"/>
    <x v="9"/>
    <n v="1"/>
    <x v="9"/>
    <x v="1"/>
    <n v="5"/>
    <n v="2.8"/>
    <n v="6888"/>
    <n v="1.2727272727272727"/>
    <n v="12300"/>
    <n v="2.2000000000000002"/>
    <n v="5412"/>
  </r>
  <r>
    <x v="3"/>
    <n v="842675"/>
    <x v="2"/>
    <n v="1038"/>
    <x v="9"/>
    <n v="1"/>
    <x v="9"/>
    <x v="1"/>
    <n v="5"/>
    <n v="2.8"/>
    <n v="2906.3999999999996"/>
    <n v="1.2727272727272723"/>
    <n v="5190"/>
    <n v="2.2000000000000002"/>
    <n v="2283.6000000000004"/>
  </r>
  <r>
    <x v="3"/>
    <n v="479703"/>
    <x v="2"/>
    <n v="1190"/>
    <x v="9"/>
    <n v="1"/>
    <x v="9"/>
    <x v="1"/>
    <n v="5"/>
    <n v="2.8"/>
    <n v="3332"/>
    <n v="1.2727272727272727"/>
    <n v="5950"/>
    <n v="2.2000000000000002"/>
    <n v="2618"/>
  </r>
  <r>
    <x v="1"/>
    <n v="649737"/>
    <x v="3"/>
    <n v="2178"/>
    <x v="9"/>
    <n v="1"/>
    <x v="9"/>
    <x v="1"/>
    <n v="4"/>
    <n v="2.5"/>
    <n v="5445"/>
    <n v="1.6666666666666667"/>
    <n v="8712"/>
    <n v="1.5"/>
    <n v="3267"/>
  </r>
  <r>
    <x v="3"/>
    <n v="361699"/>
    <x v="3"/>
    <n v="888"/>
    <x v="9"/>
    <n v="1"/>
    <x v="9"/>
    <x v="1"/>
    <n v="4"/>
    <n v="2.5"/>
    <n v="2220"/>
    <n v="1.6666666666666667"/>
    <n v="3552"/>
    <n v="1.5"/>
    <n v="1332"/>
  </r>
  <r>
    <x v="0"/>
    <n v="293680"/>
    <x v="3"/>
    <n v="2470"/>
    <x v="9"/>
    <n v="1"/>
    <x v="9"/>
    <x v="1"/>
    <n v="4"/>
    <n v="2.5"/>
    <n v="6175"/>
    <n v="1.6666666666666667"/>
    <n v="9880"/>
    <n v="1.5"/>
    <n v="3705"/>
  </r>
  <r>
    <x v="3"/>
    <n v="745878"/>
    <x v="3"/>
    <n v="689"/>
    <x v="9"/>
    <n v="1"/>
    <x v="9"/>
    <x v="1"/>
    <n v="4"/>
    <n v="2.5"/>
    <n v="1722.5"/>
    <n v="1.6666666666666667"/>
    <n v="2756"/>
    <n v="1.5"/>
    <n v="1033.5"/>
  </r>
  <r>
    <x v="0"/>
    <n v="551997"/>
    <x v="3"/>
    <n v="991"/>
    <x v="9"/>
    <n v="1"/>
    <x v="9"/>
    <x v="1"/>
    <n v="4"/>
    <n v="2.5"/>
    <n v="2477.5"/>
    <n v="1.6666666666666667"/>
    <n v="3964"/>
    <n v="1.5"/>
    <n v="1486.5"/>
  </r>
  <r>
    <x v="2"/>
    <n v="779393"/>
    <x v="3"/>
    <n v="2844"/>
    <x v="9"/>
    <n v="1"/>
    <x v="9"/>
    <x v="1"/>
    <n v="4"/>
    <n v="2.5"/>
    <n v="7110"/>
    <n v="1.6666666666666667"/>
    <n v="11376"/>
    <n v="1.5"/>
    <n v="4266"/>
  </r>
  <r>
    <x v="1"/>
    <n v="115306"/>
    <x v="3"/>
    <n v="448"/>
    <x v="9"/>
    <n v="1"/>
    <x v="9"/>
    <x v="1"/>
    <n v="4"/>
    <n v="2.5"/>
    <n v="1120"/>
    <n v="1.6666666666666667"/>
    <n v="1792"/>
    <n v="1.5"/>
    <n v="672"/>
  </r>
  <r>
    <x v="3"/>
    <n v="629559"/>
    <x v="3"/>
    <n v="1094"/>
    <x v="9"/>
    <n v="1"/>
    <x v="9"/>
    <x v="1"/>
    <n v="4"/>
    <n v="2.5"/>
    <n v="2735"/>
    <n v="1.6666666666666667"/>
    <n v="4376"/>
    <n v="1.5"/>
    <n v="1641"/>
  </r>
  <r>
    <x v="4"/>
    <n v="533938"/>
    <x v="3"/>
    <n v="886"/>
    <x v="9"/>
    <n v="1"/>
    <x v="9"/>
    <x v="1"/>
    <n v="4"/>
    <n v="2.5"/>
    <n v="2215"/>
    <n v="1.6666666666666667"/>
    <n v="3544"/>
    <n v="1.5"/>
    <n v="1329"/>
  </r>
  <r>
    <x v="1"/>
    <n v="759173"/>
    <x v="3"/>
    <n v="2567"/>
    <x v="9"/>
    <n v="1"/>
    <x v="9"/>
    <x v="1"/>
    <n v="4"/>
    <n v="2.5"/>
    <n v="6417.5"/>
    <n v="1.6666666666666667"/>
    <n v="10268"/>
    <n v="1.5"/>
    <n v="3850.5"/>
  </r>
  <r>
    <x v="2"/>
    <n v="246621"/>
    <x v="4"/>
    <n v="2178"/>
    <x v="9"/>
    <n v="1"/>
    <x v="9"/>
    <x v="1"/>
    <n v="3"/>
    <n v="1.75"/>
    <n v="3811.5"/>
    <n v="1.4"/>
    <n v="6534"/>
    <n v="1.25"/>
    <n v="2722.5"/>
  </r>
  <r>
    <x v="3"/>
    <n v="641259"/>
    <x v="4"/>
    <n v="888"/>
    <x v="9"/>
    <n v="1"/>
    <x v="9"/>
    <x v="1"/>
    <n v="3"/>
    <n v="1.75"/>
    <n v="1554"/>
    <n v="1.4"/>
    <n v="2664"/>
    <n v="1.25"/>
    <n v="1110"/>
  </r>
  <r>
    <x v="0"/>
    <n v="327845"/>
    <x v="4"/>
    <n v="727"/>
    <x v="9"/>
    <n v="1"/>
    <x v="9"/>
    <x v="1"/>
    <n v="3"/>
    <n v="1.75"/>
    <n v="1272.25"/>
    <n v="1.4"/>
    <n v="2181"/>
    <n v="1.25"/>
    <n v="908.75"/>
  </r>
  <r>
    <x v="3"/>
    <n v="460452"/>
    <x v="4"/>
    <n v="787"/>
    <x v="9"/>
    <n v="1"/>
    <x v="9"/>
    <x v="1"/>
    <n v="3"/>
    <n v="1.75"/>
    <n v="1377.25"/>
    <n v="1.4"/>
    <n v="2361"/>
    <n v="1.25"/>
    <n v="983.75"/>
  </r>
  <r>
    <x v="1"/>
    <n v="160577"/>
    <x v="4"/>
    <n v="662"/>
    <x v="9"/>
    <n v="1"/>
    <x v="9"/>
    <x v="1"/>
    <n v="3"/>
    <n v="1.75"/>
    <n v="1158.5"/>
    <n v="1.4"/>
    <n v="1986"/>
    <n v="1.25"/>
    <n v="827.5"/>
  </r>
  <r>
    <x v="2"/>
    <n v="358173"/>
    <x v="4"/>
    <n v="1570"/>
    <x v="9"/>
    <n v="1"/>
    <x v="9"/>
    <x v="1"/>
    <n v="3"/>
    <n v="1.75"/>
    <n v="2747.5"/>
    <n v="1.4"/>
    <n v="4710"/>
    <n v="1.25"/>
    <n v="1962.5"/>
  </r>
  <r>
    <x v="2"/>
    <n v="701669"/>
    <x v="4"/>
    <n v="2844"/>
    <x v="9"/>
    <n v="1"/>
    <x v="9"/>
    <x v="1"/>
    <n v="3"/>
    <n v="1.75"/>
    <n v="4977"/>
    <n v="1.4"/>
    <n v="8532"/>
    <n v="1.25"/>
    <n v="3555"/>
  </r>
  <r>
    <x v="1"/>
    <n v="721252"/>
    <x v="4"/>
    <n v="1498"/>
    <x v="9"/>
    <n v="1"/>
    <x v="9"/>
    <x v="1"/>
    <n v="3"/>
    <n v="1.75"/>
    <n v="2621.5"/>
    <n v="1.4"/>
    <n v="4494"/>
    <n v="1.25"/>
    <n v="1872.5"/>
  </r>
  <r>
    <x v="3"/>
    <n v="406234"/>
    <x v="4"/>
    <n v="2338"/>
    <x v="9"/>
    <n v="1"/>
    <x v="9"/>
    <x v="1"/>
    <n v="3"/>
    <n v="1.75"/>
    <n v="4091.5"/>
    <n v="1.4"/>
    <n v="7014"/>
    <n v="1.25"/>
    <n v="2922.5"/>
  </r>
  <r>
    <x v="2"/>
    <n v="384410"/>
    <x v="4"/>
    <n v="2567"/>
    <x v="9"/>
    <n v="1"/>
    <x v="9"/>
    <x v="1"/>
    <n v="3"/>
    <n v="1.75"/>
    <n v="4492.25"/>
    <n v="1.4"/>
    <n v="7701"/>
    <n v="1.25"/>
    <n v="3208.75"/>
  </r>
  <r>
    <x v="2"/>
    <n v="561318"/>
    <x v="4"/>
    <n v="1583"/>
    <x v="9"/>
    <n v="1"/>
    <x v="9"/>
    <x v="1"/>
    <n v="3"/>
    <n v="1.75"/>
    <n v="2770.25"/>
    <n v="1.4"/>
    <n v="4749"/>
    <n v="1.25"/>
    <n v="1978.75"/>
  </r>
  <r>
    <x v="4"/>
    <n v="552346"/>
    <x v="5"/>
    <n v="1006"/>
    <x v="9"/>
    <n v="1"/>
    <x v="9"/>
    <x v="1"/>
    <n v="6"/>
    <n v="3.25"/>
    <n v="3269.5"/>
    <n v="1.1818181818181819"/>
    <n v="6036"/>
    <n v="2.75"/>
    <n v="2766.5"/>
  </r>
  <r>
    <x v="0"/>
    <n v="643742"/>
    <x v="5"/>
    <n v="1545"/>
    <x v="9"/>
    <n v="1"/>
    <x v="9"/>
    <x v="1"/>
    <n v="6"/>
    <n v="3.25"/>
    <n v="5021.25"/>
    <n v="1.1818181818181819"/>
    <n v="9270"/>
    <n v="2.75"/>
    <n v="4248.75"/>
  </r>
  <r>
    <x v="4"/>
    <n v="192398"/>
    <x v="5"/>
    <n v="602"/>
    <x v="9"/>
    <n v="1"/>
    <x v="9"/>
    <x v="1"/>
    <n v="6"/>
    <n v="3.25"/>
    <n v="1956.5"/>
    <n v="1.1818181818181819"/>
    <n v="3612"/>
    <n v="2.75"/>
    <n v="1655.5"/>
  </r>
  <r>
    <x v="2"/>
    <n v="250308"/>
    <x v="5"/>
    <n v="1496"/>
    <x v="9"/>
    <n v="1"/>
    <x v="9"/>
    <x v="1"/>
    <n v="6"/>
    <n v="3.25"/>
    <n v="4862"/>
    <n v="1.1818181818181819"/>
    <n v="8976"/>
    <n v="2.75"/>
    <n v="4114"/>
  </r>
  <r>
    <x v="3"/>
    <n v="625104"/>
    <x v="5"/>
    <n v="1498"/>
    <x v="9"/>
    <n v="1"/>
    <x v="9"/>
    <x v="1"/>
    <n v="6"/>
    <n v="3.25"/>
    <n v="4868.5"/>
    <n v="1.1818181818181819"/>
    <n v="8988"/>
    <n v="2.75"/>
    <n v="4119.5"/>
  </r>
  <r>
    <x v="3"/>
    <n v="223911"/>
    <x v="5"/>
    <n v="1135"/>
    <x v="9"/>
    <n v="1"/>
    <x v="9"/>
    <x v="1"/>
    <n v="6"/>
    <n v="3.25"/>
    <n v="3688.75"/>
    <n v="1.1818181818181819"/>
    <n v="6810"/>
    <n v="2.75"/>
    <n v="3121.25"/>
  </r>
  <r>
    <x v="3"/>
    <n v="567117"/>
    <x v="5"/>
    <n v="2907"/>
    <x v="9"/>
    <n v="1"/>
    <x v="9"/>
    <x v="1"/>
    <n v="6"/>
    <n v="3.25"/>
    <n v="9447.75"/>
    <n v="1.1818181818181819"/>
    <n v="17442"/>
    <n v="2.75"/>
    <n v="7994.25"/>
  </r>
  <r>
    <x v="4"/>
    <n v="507642"/>
    <x v="5"/>
    <n v="2338"/>
    <x v="9"/>
    <n v="1"/>
    <x v="9"/>
    <x v="1"/>
    <n v="6"/>
    <n v="3.25"/>
    <n v="7598.5"/>
    <n v="1.1818181818181819"/>
    <n v="14028"/>
    <n v="2.75"/>
    <n v="6429.5"/>
  </r>
  <r>
    <x v="4"/>
    <n v="488771"/>
    <x v="5"/>
    <n v="2632"/>
    <x v="9"/>
    <n v="1"/>
    <x v="9"/>
    <x v="1"/>
    <n v="6"/>
    <n v="3.25"/>
    <n v="8554"/>
    <n v="1.1818181818181819"/>
    <n v="15792"/>
    <n v="2.75"/>
    <n v="7238"/>
  </r>
  <r>
    <x v="3"/>
    <n v="168032"/>
    <x v="5"/>
    <n v="1190"/>
    <x v="9"/>
    <n v="1"/>
    <x v="9"/>
    <x v="1"/>
    <n v="6"/>
    <n v="3.25"/>
    <n v="3867.5"/>
    <n v="1.1818181818181819"/>
    <n v="7140"/>
    <n v="2.75"/>
    <n v="3272.5"/>
  </r>
  <r>
    <x v="0"/>
    <n v="135967"/>
    <x v="5"/>
    <n v="604"/>
    <x v="9"/>
    <n v="1"/>
    <x v="9"/>
    <x v="1"/>
    <n v="6"/>
    <n v="3.25"/>
    <n v="1963"/>
    <n v="1.1818181818181819"/>
    <n v="3624"/>
    <n v="2.75"/>
    <n v="1661"/>
  </r>
  <r>
    <x v="2"/>
    <n v="898637"/>
    <x v="0"/>
    <n v="367"/>
    <x v="10"/>
    <n v="1"/>
    <x v="10"/>
    <x v="1"/>
    <n v="5"/>
    <n v="3"/>
    <n v="1101"/>
    <n v="1.5"/>
    <n v="1835"/>
    <n v="2"/>
    <n v="734"/>
  </r>
  <r>
    <x v="4"/>
    <n v="534742"/>
    <x v="0"/>
    <n v="1823"/>
    <x v="10"/>
    <n v="1"/>
    <x v="10"/>
    <x v="1"/>
    <n v="5"/>
    <n v="3"/>
    <n v="5469"/>
    <n v="1.5"/>
    <n v="9115"/>
    <n v="2"/>
    <n v="3646"/>
  </r>
  <r>
    <x v="4"/>
    <n v="713958"/>
    <x v="0"/>
    <n v="1369.5"/>
    <x v="10"/>
    <n v="1"/>
    <x v="10"/>
    <x v="1"/>
    <n v="5"/>
    <n v="3"/>
    <n v="4108.5"/>
    <n v="1.5"/>
    <n v="6847.5"/>
    <n v="2"/>
    <n v="2739"/>
  </r>
  <r>
    <x v="2"/>
    <n v="824253"/>
    <x v="0"/>
    <n v="3450"/>
    <x v="10"/>
    <n v="1"/>
    <x v="10"/>
    <x v="1"/>
    <n v="5"/>
    <n v="3"/>
    <n v="10350"/>
    <n v="1.5"/>
    <n v="17250"/>
    <n v="2"/>
    <n v="6900"/>
  </r>
  <r>
    <x v="3"/>
    <n v="288851"/>
    <x v="0"/>
    <n v="2988"/>
    <x v="10"/>
    <n v="1"/>
    <x v="10"/>
    <x v="1"/>
    <n v="5"/>
    <n v="3"/>
    <n v="8964"/>
    <n v="1.5"/>
    <n v="14940"/>
    <n v="2"/>
    <n v="5976"/>
  </r>
  <r>
    <x v="4"/>
    <n v="459019"/>
    <x v="0"/>
    <n v="3513"/>
    <x v="10"/>
    <n v="1"/>
    <x v="10"/>
    <x v="1"/>
    <n v="5"/>
    <n v="3"/>
    <n v="10539"/>
    <n v="1.5"/>
    <n v="17565"/>
    <n v="2"/>
    <n v="7026"/>
  </r>
  <r>
    <x v="3"/>
    <n v="735406"/>
    <x v="0"/>
    <n v="2104.5"/>
    <x v="10"/>
    <n v="1"/>
    <x v="10"/>
    <x v="1"/>
    <n v="5"/>
    <n v="3"/>
    <n v="6313.5"/>
    <n v="1.5"/>
    <n v="10522.5"/>
    <n v="2"/>
    <n v="4209"/>
  </r>
  <r>
    <x v="3"/>
    <n v="253399"/>
    <x v="0"/>
    <n v="4026"/>
    <x v="10"/>
    <n v="1"/>
    <x v="10"/>
    <x v="1"/>
    <n v="5"/>
    <n v="3"/>
    <n v="12078"/>
    <n v="1.5"/>
    <n v="20130"/>
    <n v="2"/>
    <n v="8052"/>
  </r>
  <r>
    <x v="2"/>
    <n v="146841"/>
    <x v="0"/>
    <n v="2425.5"/>
    <x v="10"/>
    <n v="1"/>
    <x v="10"/>
    <x v="1"/>
    <n v="5"/>
    <n v="3"/>
    <n v="7276.5"/>
    <n v="1.5"/>
    <n v="12127.5"/>
    <n v="2"/>
    <n v="4851"/>
  </r>
  <r>
    <x v="4"/>
    <n v="868182"/>
    <x v="0"/>
    <n v="571"/>
    <x v="10"/>
    <n v="1"/>
    <x v="10"/>
    <x v="1"/>
    <n v="5"/>
    <n v="3"/>
    <n v="1713"/>
    <n v="1.5"/>
    <n v="2855"/>
    <n v="2"/>
    <n v="1142"/>
  </r>
  <r>
    <x v="4"/>
    <n v="252717"/>
    <x v="1"/>
    <n v="2665.5"/>
    <x v="10"/>
    <n v="1"/>
    <x v="10"/>
    <x v="1"/>
    <n v="1"/>
    <n v="0.5"/>
    <n v="1332.75"/>
    <n v="1"/>
    <n v="2665.5"/>
    <n v="0.5"/>
    <n v="1332.75"/>
  </r>
  <r>
    <x v="4"/>
    <n v="892418"/>
    <x v="1"/>
    <n v="1375.5"/>
    <x v="10"/>
    <n v="1"/>
    <x v="10"/>
    <x v="1"/>
    <n v="1"/>
    <n v="0.5"/>
    <n v="687.75"/>
    <n v="1"/>
    <n v="1375.5"/>
    <n v="0.5"/>
    <n v="687.75"/>
  </r>
  <r>
    <x v="4"/>
    <n v="746705"/>
    <x v="1"/>
    <n v="3627"/>
    <x v="10"/>
    <n v="1"/>
    <x v="10"/>
    <x v="1"/>
    <n v="1"/>
    <n v="0.5"/>
    <n v="1813.5"/>
    <n v="1"/>
    <n v="3627"/>
    <n v="0.5"/>
    <n v="1813.5"/>
  </r>
  <r>
    <x v="4"/>
    <n v="219898"/>
    <x v="1"/>
    <n v="645"/>
    <x v="10"/>
    <n v="1"/>
    <x v="10"/>
    <x v="1"/>
    <n v="1"/>
    <n v="0.5"/>
    <n v="322.5"/>
    <n v="1"/>
    <n v="645"/>
    <n v="0.5"/>
    <n v="322.5"/>
  </r>
  <r>
    <x v="3"/>
    <n v="434964"/>
    <x v="1"/>
    <n v="2255"/>
    <x v="10"/>
    <n v="1"/>
    <x v="10"/>
    <x v="1"/>
    <n v="1"/>
    <n v="0.5"/>
    <n v="1127.5"/>
    <n v="1"/>
    <n v="2255"/>
    <n v="0.5"/>
    <n v="1127.5"/>
  </r>
  <r>
    <x v="3"/>
    <n v="754791"/>
    <x v="2"/>
    <n v="1686"/>
    <x v="10"/>
    <n v="1"/>
    <x v="10"/>
    <x v="1"/>
    <n v="5"/>
    <n v="2.8"/>
    <n v="4720.7999999999993"/>
    <n v="1.2727272727272725"/>
    <n v="8430"/>
    <n v="2.2000000000000002"/>
    <n v="3709.2000000000003"/>
  </r>
  <r>
    <x v="3"/>
    <n v="602865"/>
    <x v="2"/>
    <n v="1683"/>
    <x v="10"/>
    <n v="1"/>
    <x v="10"/>
    <x v="1"/>
    <n v="5"/>
    <n v="2.8"/>
    <n v="4712.3999999999996"/>
    <n v="1.2727272727272725"/>
    <n v="8415"/>
    <n v="2.2000000000000002"/>
    <n v="3702.6000000000004"/>
  </r>
  <r>
    <x v="4"/>
    <n v="571542"/>
    <x v="2"/>
    <n v="1630.5"/>
    <x v="10"/>
    <n v="1"/>
    <x v="10"/>
    <x v="1"/>
    <n v="5"/>
    <n v="2.8"/>
    <n v="4565.3999999999996"/>
    <n v="1.2727272727272725"/>
    <n v="8152.5"/>
    <n v="2.2000000000000002"/>
    <n v="3587.1000000000004"/>
  </r>
  <r>
    <x v="2"/>
    <n v="104326"/>
    <x v="2"/>
    <n v="3199.5"/>
    <x v="10"/>
    <n v="1"/>
    <x v="10"/>
    <x v="1"/>
    <n v="5"/>
    <n v="2.8"/>
    <n v="8958.5999999999985"/>
    <n v="1.2727272727272725"/>
    <n v="15997.5"/>
    <n v="2.2000000000000002"/>
    <n v="7038.9000000000005"/>
  </r>
  <r>
    <x v="3"/>
    <n v="261362"/>
    <x v="2"/>
    <n v="3421.5"/>
    <x v="10"/>
    <n v="1"/>
    <x v="10"/>
    <x v="1"/>
    <n v="5"/>
    <n v="2.8"/>
    <n v="9580.2000000000007"/>
    <n v="1.2727272727272727"/>
    <n v="17107.5"/>
    <n v="2.2000000000000002"/>
    <n v="7527.3"/>
  </r>
  <r>
    <x v="1"/>
    <n v="406431"/>
    <x v="3"/>
    <n v="2529"/>
    <x v="10"/>
    <n v="1"/>
    <x v="10"/>
    <x v="1"/>
    <n v="4"/>
    <n v="2.5"/>
    <n v="6322.5"/>
    <n v="1.6666666666666667"/>
    <n v="10116"/>
    <n v="1.5"/>
    <n v="3793.5"/>
  </r>
  <r>
    <x v="4"/>
    <n v="865204"/>
    <x v="3"/>
    <n v="819"/>
    <x v="10"/>
    <n v="1"/>
    <x v="10"/>
    <x v="1"/>
    <n v="4"/>
    <n v="2.5"/>
    <n v="2047.5"/>
    <n v="1.6666666666666667"/>
    <n v="3276"/>
    <n v="1.5"/>
    <n v="1228.5"/>
  </r>
  <r>
    <x v="2"/>
    <n v="327555"/>
    <x v="3"/>
    <n v="2811"/>
    <x v="10"/>
    <n v="1"/>
    <x v="10"/>
    <x v="1"/>
    <n v="4"/>
    <n v="2.5"/>
    <n v="7027.5"/>
    <n v="1.6666666666666667"/>
    <n v="11244"/>
    <n v="1.5"/>
    <n v="4216.5"/>
  </r>
  <r>
    <x v="1"/>
    <n v="372739"/>
    <x v="3"/>
    <n v="801"/>
    <x v="10"/>
    <n v="1"/>
    <x v="10"/>
    <x v="1"/>
    <n v="4"/>
    <n v="2.5"/>
    <n v="2002.5"/>
    <n v="1.6666666666666667"/>
    <n v="3204"/>
    <n v="1.5"/>
    <n v="1201.5"/>
  </r>
  <r>
    <x v="2"/>
    <n v="633142"/>
    <x v="4"/>
    <n v="436.5"/>
    <x v="10"/>
    <n v="1"/>
    <x v="10"/>
    <x v="1"/>
    <n v="3"/>
    <n v="1.75"/>
    <n v="763.875"/>
    <n v="1.4"/>
    <n v="1309.5"/>
    <n v="1.25"/>
    <n v="545.625"/>
  </r>
  <r>
    <x v="0"/>
    <n v="485947"/>
    <x v="4"/>
    <n v="641"/>
    <x v="10"/>
    <n v="1"/>
    <x v="10"/>
    <x v="1"/>
    <n v="3"/>
    <n v="1.75"/>
    <n v="1121.75"/>
    <n v="1.4"/>
    <n v="1923"/>
    <n v="1.25"/>
    <n v="801.25"/>
  </r>
  <r>
    <x v="0"/>
    <n v="219485"/>
    <x v="4"/>
    <n v="3874.5"/>
    <x v="10"/>
    <n v="1"/>
    <x v="10"/>
    <x v="1"/>
    <n v="3"/>
    <n v="1.75"/>
    <n v="6780.375"/>
    <n v="1.4"/>
    <n v="11623.5"/>
    <n v="1.25"/>
    <n v="4843.125"/>
  </r>
  <r>
    <x v="0"/>
    <n v="213778"/>
    <x v="4"/>
    <n v="865.5"/>
    <x v="10"/>
    <n v="1"/>
    <x v="10"/>
    <x v="1"/>
    <n v="3"/>
    <n v="1.75"/>
    <n v="1514.625"/>
    <n v="1.4"/>
    <n v="2596.5"/>
    <n v="1.25"/>
    <n v="1081.875"/>
  </r>
  <r>
    <x v="4"/>
    <n v="414407"/>
    <x v="4"/>
    <n v="492"/>
    <x v="10"/>
    <n v="1"/>
    <x v="10"/>
    <x v="1"/>
    <n v="3"/>
    <n v="1.75"/>
    <n v="861"/>
    <n v="1.4"/>
    <n v="1476"/>
    <n v="1.25"/>
    <n v="615"/>
  </r>
  <r>
    <x v="0"/>
    <n v="614031"/>
    <x v="5"/>
    <n v="1659"/>
    <x v="10"/>
    <n v="1"/>
    <x v="10"/>
    <x v="1"/>
    <n v="6"/>
    <n v="3.25"/>
    <n v="5391.75"/>
    <n v="1.1818181818181819"/>
    <n v="9954"/>
    <n v="2.75"/>
    <n v="4562.25"/>
  </r>
  <r>
    <x v="4"/>
    <n v="710702"/>
    <x v="5"/>
    <n v="3793.5"/>
    <x v="10"/>
    <n v="1"/>
    <x v="10"/>
    <x v="1"/>
    <n v="6"/>
    <n v="3.25"/>
    <n v="12328.875"/>
    <n v="1.1818181818181819"/>
    <n v="22761"/>
    <n v="2.75"/>
    <n v="10432.125"/>
  </r>
  <r>
    <x v="4"/>
    <n v="696979"/>
    <x v="5"/>
    <n v="1307"/>
    <x v="10"/>
    <n v="1"/>
    <x v="10"/>
    <x v="1"/>
    <n v="6"/>
    <n v="3.25"/>
    <n v="4247.75"/>
    <n v="1.1818181818181819"/>
    <n v="7842"/>
    <n v="2.75"/>
    <n v="3594.25"/>
  </r>
  <r>
    <x v="2"/>
    <n v="897372"/>
    <x v="5"/>
    <n v="639"/>
    <x v="10"/>
    <n v="1"/>
    <x v="10"/>
    <x v="1"/>
    <n v="6"/>
    <n v="3.25"/>
    <n v="2076.75"/>
    <n v="1.1818181818181819"/>
    <n v="3834"/>
    <n v="2.75"/>
    <n v="1757.25"/>
  </r>
  <r>
    <x v="2"/>
    <n v="638098"/>
    <x v="5"/>
    <n v="1395"/>
    <x v="10"/>
    <n v="1"/>
    <x v="10"/>
    <x v="1"/>
    <n v="6"/>
    <n v="3.25"/>
    <n v="4533.75"/>
    <n v="1.1818181818181819"/>
    <n v="8370"/>
    <n v="2.75"/>
    <n v="3836.25"/>
  </r>
  <r>
    <x v="4"/>
    <n v="233911"/>
    <x v="5"/>
    <n v="2460"/>
    <x v="10"/>
    <n v="1"/>
    <x v="10"/>
    <x v="1"/>
    <n v="6"/>
    <n v="3.25"/>
    <n v="7995"/>
    <n v="1.1818181818181819"/>
    <n v="14760"/>
    <n v="2.75"/>
    <n v="6765"/>
  </r>
  <r>
    <x v="1"/>
    <n v="889571"/>
    <x v="0"/>
    <n v="883"/>
    <x v="11"/>
    <n v="1"/>
    <x v="11"/>
    <x v="1"/>
    <n v="5"/>
    <n v="3"/>
    <n v="2649"/>
    <n v="1.5"/>
    <n v="4415"/>
    <n v="2"/>
    <n v="1766"/>
  </r>
  <r>
    <x v="3"/>
    <n v="698245"/>
    <x v="0"/>
    <n v="2198"/>
    <x v="11"/>
    <n v="1"/>
    <x v="11"/>
    <x v="1"/>
    <n v="5"/>
    <n v="3"/>
    <n v="6594"/>
    <n v="1.5"/>
    <n v="10990"/>
    <n v="2"/>
    <n v="4396"/>
  </r>
  <r>
    <x v="4"/>
    <n v="796346"/>
    <x v="0"/>
    <n v="1743"/>
    <x v="11"/>
    <n v="1"/>
    <x v="11"/>
    <x v="1"/>
    <n v="5"/>
    <n v="3"/>
    <n v="5229"/>
    <n v="1.5"/>
    <n v="8715"/>
    <n v="2"/>
    <n v="3486"/>
  </r>
  <r>
    <x v="1"/>
    <n v="126864"/>
    <x v="0"/>
    <n v="2101"/>
    <x v="11"/>
    <n v="1"/>
    <x v="11"/>
    <x v="1"/>
    <n v="5"/>
    <n v="3"/>
    <n v="6303"/>
    <n v="1.5"/>
    <n v="10505"/>
    <n v="2"/>
    <n v="4202"/>
  </r>
  <r>
    <x v="1"/>
    <n v="456841"/>
    <x v="0"/>
    <n v="678"/>
    <x v="11"/>
    <n v="1"/>
    <x v="11"/>
    <x v="1"/>
    <n v="5"/>
    <n v="3"/>
    <n v="2034"/>
    <n v="1.5"/>
    <n v="3390"/>
    <n v="2"/>
    <n v="1356"/>
  </r>
  <r>
    <x v="3"/>
    <n v="513469"/>
    <x v="0"/>
    <n v="1598"/>
    <x v="11"/>
    <n v="1"/>
    <x v="11"/>
    <x v="1"/>
    <n v="5"/>
    <n v="3"/>
    <n v="4794"/>
    <n v="1.5"/>
    <n v="7990"/>
    <n v="2"/>
    <n v="3196"/>
  </r>
  <r>
    <x v="4"/>
    <n v="466133"/>
    <x v="0"/>
    <n v="2394"/>
    <x v="11"/>
    <n v="1"/>
    <x v="11"/>
    <x v="1"/>
    <n v="5"/>
    <n v="3"/>
    <n v="7182"/>
    <n v="1.5"/>
    <n v="11970"/>
    <n v="2"/>
    <n v="4788"/>
  </r>
  <r>
    <x v="3"/>
    <n v="159484"/>
    <x v="0"/>
    <n v="1984"/>
    <x v="11"/>
    <n v="1"/>
    <x v="11"/>
    <x v="1"/>
    <n v="5"/>
    <n v="3"/>
    <n v="5952"/>
    <n v="1.5"/>
    <n v="9920"/>
    <n v="2"/>
    <n v="3968"/>
  </r>
  <r>
    <x v="3"/>
    <n v="121808"/>
    <x v="0"/>
    <n v="2696"/>
    <x v="11"/>
    <n v="1"/>
    <x v="11"/>
    <x v="1"/>
    <n v="5"/>
    <n v="3"/>
    <n v="8088"/>
    <n v="1.5"/>
    <n v="13480"/>
    <n v="2"/>
    <n v="5392"/>
  </r>
  <r>
    <x v="3"/>
    <n v="408804"/>
    <x v="0"/>
    <n v="2559"/>
    <x v="11"/>
    <n v="1"/>
    <x v="11"/>
    <x v="1"/>
    <n v="5"/>
    <n v="3"/>
    <n v="7677"/>
    <n v="1.5"/>
    <n v="12795"/>
    <n v="2"/>
    <n v="5118"/>
  </r>
  <r>
    <x v="3"/>
    <n v="440487"/>
    <x v="1"/>
    <n v="958"/>
    <x v="11"/>
    <n v="1"/>
    <x v="11"/>
    <x v="1"/>
    <n v="1"/>
    <n v="0.5"/>
    <n v="479"/>
    <n v="1"/>
    <n v="958"/>
    <n v="0.5"/>
    <n v="479"/>
  </r>
  <r>
    <x v="4"/>
    <n v="459280"/>
    <x v="1"/>
    <n v="1830"/>
    <x v="11"/>
    <n v="1"/>
    <x v="11"/>
    <x v="1"/>
    <n v="1"/>
    <n v="0.5"/>
    <n v="915"/>
    <n v="1"/>
    <n v="1830"/>
    <n v="0.5"/>
    <n v="915"/>
  </r>
  <r>
    <x v="3"/>
    <n v="539522"/>
    <x v="1"/>
    <n v="1859"/>
    <x v="11"/>
    <n v="1"/>
    <x v="11"/>
    <x v="1"/>
    <n v="1"/>
    <n v="0.5"/>
    <n v="929.5"/>
    <n v="1"/>
    <n v="1859"/>
    <n v="0.5"/>
    <n v="929.5"/>
  </r>
  <r>
    <x v="3"/>
    <n v="141979"/>
    <x v="1"/>
    <n v="1562"/>
    <x v="11"/>
    <n v="1"/>
    <x v="11"/>
    <x v="1"/>
    <n v="1"/>
    <n v="0.5"/>
    <n v="781"/>
    <n v="1"/>
    <n v="1562"/>
    <n v="0.5"/>
    <n v="781"/>
  </r>
  <r>
    <x v="2"/>
    <n v="348619"/>
    <x v="2"/>
    <n v="2141"/>
    <x v="11"/>
    <n v="1"/>
    <x v="11"/>
    <x v="1"/>
    <n v="5"/>
    <n v="2.8"/>
    <n v="5994.7999999999993"/>
    <n v="1.2727272727272725"/>
    <n v="10705"/>
    <n v="2.2000000000000002"/>
    <n v="4710.2000000000007"/>
  </r>
  <r>
    <x v="2"/>
    <n v="304458"/>
    <x v="2"/>
    <n v="1123"/>
    <x v="11"/>
    <n v="1"/>
    <x v="11"/>
    <x v="1"/>
    <n v="5"/>
    <n v="2.8"/>
    <n v="3144.3999999999996"/>
    <n v="1.2727272727272725"/>
    <n v="5615"/>
    <n v="2.2000000000000002"/>
    <n v="2470.6000000000004"/>
  </r>
  <r>
    <x v="4"/>
    <n v="399302"/>
    <x v="2"/>
    <n v="552"/>
    <x v="11"/>
    <n v="1"/>
    <x v="11"/>
    <x v="1"/>
    <n v="5"/>
    <n v="2.8"/>
    <n v="1545.6"/>
    <n v="1.2727272727272725"/>
    <n v="2760"/>
    <n v="2.2000000000000002"/>
    <n v="1214.4000000000001"/>
  </r>
  <r>
    <x v="4"/>
    <n v="702523"/>
    <x v="2"/>
    <n v="2574"/>
    <x v="11"/>
    <n v="1"/>
    <x v="11"/>
    <x v="1"/>
    <n v="5"/>
    <n v="2.8"/>
    <n v="7207.2"/>
    <n v="1.2727272727272727"/>
    <n v="12870"/>
    <n v="2.2000000000000002"/>
    <n v="5662.8"/>
  </r>
  <r>
    <x v="4"/>
    <n v="140516"/>
    <x v="2"/>
    <n v="2475"/>
    <x v="11"/>
    <n v="1"/>
    <x v="11"/>
    <x v="1"/>
    <n v="5"/>
    <n v="2.8"/>
    <n v="6930"/>
    <n v="1.2727272727272727"/>
    <n v="12375"/>
    <n v="2.2000000000000002"/>
    <n v="5445"/>
  </r>
  <r>
    <x v="0"/>
    <n v="572044"/>
    <x v="3"/>
    <n v="1884"/>
    <x v="11"/>
    <n v="1"/>
    <x v="11"/>
    <x v="1"/>
    <n v="4"/>
    <n v="2.5"/>
    <n v="4710"/>
    <n v="1.6666666666666667"/>
    <n v="7536"/>
    <n v="1.5"/>
    <n v="2826"/>
  </r>
  <r>
    <x v="4"/>
    <n v="495847"/>
    <x v="3"/>
    <n v="1540"/>
    <x v="11"/>
    <n v="1"/>
    <x v="11"/>
    <x v="1"/>
    <n v="4"/>
    <n v="2.5"/>
    <n v="3850"/>
    <n v="1.6666666666666667"/>
    <n v="6160"/>
    <n v="1.5"/>
    <n v="2310"/>
  </r>
  <r>
    <x v="0"/>
    <n v="819278"/>
    <x v="3"/>
    <n v="1174"/>
    <x v="11"/>
    <n v="1"/>
    <x v="11"/>
    <x v="1"/>
    <n v="4"/>
    <n v="2.5"/>
    <n v="2935"/>
    <n v="1.6666666666666667"/>
    <n v="4696"/>
    <n v="1.5"/>
    <n v="1761"/>
  </r>
  <r>
    <x v="4"/>
    <n v="858434"/>
    <x v="3"/>
    <n v="2767"/>
    <x v="11"/>
    <n v="1"/>
    <x v="11"/>
    <x v="1"/>
    <n v="4"/>
    <n v="2.5"/>
    <n v="6917.5"/>
    <n v="1.6666666666666667"/>
    <n v="11068"/>
    <n v="1.5"/>
    <n v="4150.5"/>
  </r>
  <r>
    <x v="2"/>
    <n v="149767"/>
    <x v="4"/>
    <n v="1874"/>
    <x v="11"/>
    <n v="1"/>
    <x v="11"/>
    <x v="1"/>
    <n v="3"/>
    <n v="1.75"/>
    <n v="3279.5"/>
    <n v="1.4"/>
    <n v="5622"/>
    <n v="1.25"/>
    <n v="2342.5"/>
  </r>
  <r>
    <x v="4"/>
    <n v="108848"/>
    <x v="4"/>
    <n v="1642"/>
    <x v="11"/>
    <n v="1"/>
    <x v="11"/>
    <x v="1"/>
    <n v="3"/>
    <n v="1.75"/>
    <n v="2873.5"/>
    <n v="1.4"/>
    <n v="4926"/>
    <n v="1.25"/>
    <n v="2052.5"/>
  </r>
  <r>
    <x v="3"/>
    <n v="464364"/>
    <x v="4"/>
    <n v="381"/>
    <x v="11"/>
    <n v="1"/>
    <x v="11"/>
    <x v="1"/>
    <n v="3"/>
    <n v="1.75"/>
    <n v="666.75"/>
    <n v="1.4"/>
    <n v="1143"/>
    <n v="1.25"/>
    <n v="476.25"/>
  </r>
  <r>
    <x v="0"/>
    <n v="350494"/>
    <x v="4"/>
    <n v="422"/>
    <x v="11"/>
    <n v="1"/>
    <x v="11"/>
    <x v="1"/>
    <n v="3"/>
    <n v="1.75"/>
    <n v="738.5"/>
    <n v="1.4"/>
    <n v="1266"/>
    <n v="1.25"/>
    <n v="527.5"/>
  </r>
  <r>
    <x v="2"/>
    <n v="363822"/>
    <x v="4"/>
    <n v="2807"/>
    <x v="11"/>
    <n v="1"/>
    <x v="11"/>
    <x v="1"/>
    <n v="3"/>
    <n v="1.75"/>
    <n v="4912.25"/>
    <n v="1.4"/>
    <n v="8421"/>
    <n v="1.25"/>
    <n v="3508.75"/>
  </r>
  <r>
    <x v="3"/>
    <n v="444518"/>
    <x v="4"/>
    <n v="2541"/>
    <x v="11"/>
    <n v="1"/>
    <x v="11"/>
    <x v="1"/>
    <n v="3"/>
    <n v="1.75"/>
    <n v="4446.75"/>
    <n v="1.4"/>
    <n v="7623"/>
    <n v="1.25"/>
    <n v="3176.25"/>
  </r>
  <r>
    <x v="0"/>
    <n v="685153"/>
    <x v="5"/>
    <n v="2821"/>
    <x v="11"/>
    <n v="1"/>
    <x v="11"/>
    <x v="1"/>
    <n v="6"/>
    <n v="3.25"/>
    <n v="9168.25"/>
    <n v="1.1818181818181819"/>
    <n v="16926"/>
    <n v="2.75"/>
    <n v="7757.75"/>
  </r>
  <r>
    <x v="0"/>
    <n v="265959"/>
    <x v="5"/>
    <n v="923"/>
    <x v="11"/>
    <n v="1"/>
    <x v="11"/>
    <x v="1"/>
    <n v="6"/>
    <n v="3.25"/>
    <n v="2999.75"/>
    <n v="1.1818181818181819"/>
    <n v="5538"/>
    <n v="2.75"/>
    <n v="2538.25"/>
  </r>
  <r>
    <x v="1"/>
    <n v="864063"/>
    <x v="5"/>
    <n v="2832"/>
    <x v="11"/>
    <n v="1"/>
    <x v="11"/>
    <x v="1"/>
    <n v="6"/>
    <n v="3.25"/>
    <n v="9204"/>
    <n v="1.1818181818181819"/>
    <n v="16992"/>
    <n v="2.75"/>
    <n v="7788"/>
  </r>
  <r>
    <x v="3"/>
    <n v="355971"/>
    <x v="5"/>
    <n v="1579"/>
    <x v="11"/>
    <n v="1"/>
    <x v="11"/>
    <x v="1"/>
    <n v="6"/>
    <n v="3.25"/>
    <n v="5131.75"/>
    <n v="1.1818181818181819"/>
    <n v="9474"/>
    <n v="2.75"/>
    <n v="4342.25"/>
  </r>
  <r>
    <x v="1"/>
    <n v="263637"/>
    <x v="5"/>
    <n v="1001"/>
    <x v="11"/>
    <n v="1"/>
    <x v="11"/>
    <x v="1"/>
    <n v="6"/>
    <n v="3.25"/>
    <n v="3253.25"/>
    <n v="1.1818181818181819"/>
    <n v="6006"/>
    <n v="2.75"/>
    <n v="2752.75"/>
  </r>
  <r>
    <x v="0"/>
    <n v="741049"/>
    <x v="5"/>
    <n v="609"/>
    <x v="11"/>
    <n v="1"/>
    <x v="11"/>
    <x v="1"/>
    <n v="6"/>
    <n v="3.25"/>
    <n v="1979.25"/>
    <n v="1.1818181818181819"/>
    <n v="3654"/>
    <n v="2.75"/>
    <n v="1674.75"/>
  </r>
  <r>
    <x v="1"/>
    <n v="703997"/>
    <x v="0"/>
    <n v="2472"/>
    <x v="12"/>
    <n v="1"/>
    <x v="0"/>
    <x v="1"/>
    <n v="5"/>
    <n v="3"/>
    <n v="7416"/>
    <n v="1.5"/>
    <n v="12360"/>
    <n v="2"/>
    <n v="4944"/>
  </r>
  <r>
    <x v="2"/>
    <n v="320688"/>
    <x v="0"/>
    <n v="747"/>
    <x v="12"/>
    <n v="1"/>
    <x v="0"/>
    <x v="1"/>
    <n v="5"/>
    <n v="3"/>
    <n v="2241"/>
    <n v="1.5"/>
    <n v="3735"/>
    <n v="2"/>
    <n v="1494"/>
  </r>
  <r>
    <x v="0"/>
    <n v="675035"/>
    <x v="0"/>
    <n v="218"/>
    <x v="12"/>
    <n v="1"/>
    <x v="0"/>
    <x v="1"/>
    <n v="5"/>
    <n v="3"/>
    <n v="654"/>
    <n v="1.5"/>
    <n v="1090"/>
    <n v="2"/>
    <n v="436"/>
  </r>
  <r>
    <x v="3"/>
    <n v="255145"/>
    <x v="0"/>
    <n v="2074"/>
    <x v="12"/>
    <n v="1"/>
    <x v="0"/>
    <x v="1"/>
    <n v="5"/>
    <n v="3"/>
    <n v="6222"/>
    <n v="1.5"/>
    <n v="10370"/>
    <n v="2"/>
    <n v="4148"/>
  </r>
  <r>
    <x v="1"/>
    <n v="436748"/>
    <x v="0"/>
    <n v="1056"/>
    <x v="12"/>
    <n v="1"/>
    <x v="0"/>
    <x v="1"/>
    <n v="5"/>
    <n v="3"/>
    <n v="3168"/>
    <n v="1.5"/>
    <n v="5280"/>
    <n v="2"/>
    <n v="2112"/>
  </r>
  <r>
    <x v="1"/>
    <n v="587035"/>
    <x v="0"/>
    <n v="2620"/>
    <x v="12"/>
    <n v="1"/>
    <x v="0"/>
    <x v="1"/>
    <n v="5"/>
    <n v="3"/>
    <n v="7860"/>
    <n v="1.5"/>
    <n v="13100"/>
    <n v="2"/>
    <n v="5240"/>
  </r>
  <r>
    <x v="3"/>
    <n v="293863"/>
    <x v="0"/>
    <n v="1535"/>
    <x v="12"/>
    <n v="1"/>
    <x v="0"/>
    <x v="1"/>
    <n v="5"/>
    <n v="3"/>
    <n v="4605"/>
    <n v="1.5"/>
    <n v="7675"/>
    <n v="2"/>
    <n v="3070"/>
  </r>
  <r>
    <x v="3"/>
    <n v="100553"/>
    <x v="0"/>
    <n v="1934"/>
    <x v="12"/>
    <n v="1"/>
    <x v="0"/>
    <x v="1"/>
    <n v="5"/>
    <n v="3"/>
    <n v="5802"/>
    <n v="1.5"/>
    <n v="9670"/>
    <n v="2"/>
    <n v="3868"/>
  </r>
  <r>
    <x v="3"/>
    <n v="788375"/>
    <x v="0"/>
    <n v="2993"/>
    <x v="12"/>
    <n v="1"/>
    <x v="0"/>
    <x v="1"/>
    <n v="5"/>
    <n v="3"/>
    <n v="8979"/>
    <n v="1.5"/>
    <n v="14965"/>
    <n v="2"/>
    <n v="5986"/>
  </r>
  <r>
    <x v="4"/>
    <n v="544855"/>
    <x v="0"/>
    <n v="1767"/>
    <x v="12"/>
    <n v="1"/>
    <x v="0"/>
    <x v="1"/>
    <n v="5"/>
    <n v="3"/>
    <n v="5301"/>
    <n v="1.5"/>
    <n v="8835"/>
    <n v="2"/>
    <n v="3534"/>
  </r>
  <r>
    <x v="4"/>
    <n v="366159"/>
    <x v="1"/>
    <n v="2146"/>
    <x v="12"/>
    <n v="1"/>
    <x v="0"/>
    <x v="1"/>
    <n v="1"/>
    <n v="0.5"/>
    <n v="1073"/>
    <n v="1"/>
    <n v="2146"/>
    <n v="0.5"/>
    <n v="1073"/>
  </r>
  <r>
    <x v="2"/>
    <n v="154432"/>
    <x v="1"/>
    <n v="544"/>
    <x v="12"/>
    <n v="1"/>
    <x v="0"/>
    <x v="1"/>
    <n v="1"/>
    <n v="0.5"/>
    <n v="272"/>
    <n v="1"/>
    <n v="544"/>
    <n v="0.5"/>
    <n v="272"/>
  </r>
  <r>
    <x v="3"/>
    <n v="724808"/>
    <x v="1"/>
    <n v="2328"/>
    <x v="12"/>
    <n v="1"/>
    <x v="0"/>
    <x v="1"/>
    <n v="1"/>
    <n v="0.5"/>
    <n v="1164"/>
    <n v="1"/>
    <n v="2328"/>
    <n v="0.5"/>
    <n v="1164"/>
  </r>
  <r>
    <x v="4"/>
    <n v="741765"/>
    <x v="1"/>
    <n v="2420"/>
    <x v="12"/>
    <n v="1"/>
    <x v="0"/>
    <x v="1"/>
    <n v="1"/>
    <n v="0.5"/>
    <n v="1210"/>
    <n v="1"/>
    <n v="2420"/>
    <n v="0.5"/>
    <n v="1210"/>
  </r>
  <r>
    <x v="2"/>
    <n v="397049"/>
    <x v="1"/>
    <n v="388"/>
    <x v="12"/>
    <n v="1"/>
    <x v="0"/>
    <x v="1"/>
    <n v="1"/>
    <n v="0.5"/>
    <n v="194"/>
    <n v="1"/>
    <n v="388"/>
    <n v="0.5"/>
    <n v="194"/>
  </r>
  <r>
    <x v="3"/>
    <n v="788478"/>
    <x v="2"/>
    <n v="1907"/>
    <x v="12"/>
    <n v="1"/>
    <x v="0"/>
    <x v="1"/>
    <n v="5"/>
    <n v="2.8"/>
    <n v="5339.5999999999995"/>
    <n v="1.2727272727272725"/>
    <n v="9535"/>
    <n v="2.2000000000000002"/>
    <n v="4195.4000000000005"/>
  </r>
  <r>
    <x v="3"/>
    <n v="551372"/>
    <x v="2"/>
    <n v="1679"/>
    <x v="12"/>
    <n v="1"/>
    <x v="0"/>
    <x v="1"/>
    <n v="5"/>
    <n v="2.8"/>
    <n v="4701.2"/>
    <n v="1.2727272727272727"/>
    <n v="8395"/>
    <n v="2.2000000000000002"/>
    <n v="3693.8"/>
  </r>
  <r>
    <x v="3"/>
    <n v="271981"/>
    <x v="2"/>
    <n v="2876"/>
    <x v="12"/>
    <n v="1"/>
    <x v="0"/>
    <x v="1"/>
    <n v="5"/>
    <n v="2.8"/>
    <n v="8052.7999999999993"/>
    <n v="1.2727272727272725"/>
    <n v="14380"/>
    <n v="2.2000000000000002"/>
    <n v="6327.2000000000007"/>
  </r>
  <r>
    <x v="3"/>
    <n v="444725"/>
    <x v="2"/>
    <n v="2071"/>
    <x v="12"/>
    <n v="1"/>
    <x v="0"/>
    <x v="1"/>
    <n v="5"/>
    <n v="2.8"/>
    <n v="5798.7999999999993"/>
    <n v="1.2727272727272723"/>
    <n v="10355"/>
    <n v="2.2000000000000002"/>
    <n v="4556.2000000000007"/>
  </r>
  <r>
    <x v="3"/>
    <n v="267107"/>
    <x v="2"/>
    <n v="707"/>
    <x v="12"/>
    <n v="1"/>
    <x v="0"/>
    <x v="1"/>
    <n v="5"/>
    <n v="2.8"/>
    <n v="1979.6"/>
    <n v="1.2727272727272725"/>
    <n v="3535"/>
    <n v="2.2000000000000002"/>
    <n v="1555.4"/>
  </r>
  <r>
    <x v="4"/>
    <n v="869055"/>
    <x v="3"/>
    <n v="1445"/>
    <x v="12"/>
    <n v="1"/>
    <x v="0"/>
    <x v="1"/>
    <n v="4"/>
    <n v="2.5"/>
    <n v="3612.5"/>
    <n v="1.6666666666666667"/>
    <n v="5780"/>
    <n v="1.5"/>
    <n v="2167.5"/>
  </r>
  <r>
    <x v="1"/>
    <n v="111799"/>
    <x v="3"/>
    <n v="2671"/>
    <x v="12"/>
    <n v="1"/>
    <x v="0"/>
    <x v="1"/>
    <n v="4"/>
    <n v="2.5"/>
    <n v="6677.5"/>
    <n v="1.6666666666666667"/>
    <n v="10684"/>
    <n v="1.5"/>
    <n v="4006.5"/>
  </r>
  <r>
    <x v="3"/>
    <n v="863607"/>
    <x v="3"/>
    <n v="1947"/>
    <x v="12"/>
    <n v="1"/>
    <x v="0"/>
    <x v="1"/>
    <n v="4"/>
    <n v="2.5"/>
    <n v="4867.5"/>
    <n v="1.6666666666666667"/>
    <n v="7788"/>
    <n v="1.5"/>
    <n v="2920.5"/>
  </r>
  <r>
    <x v="4"/>
    <n v="443447"/>
    <x v="3"/>
    <n v="562"/>
    <x v="12"/>
    <n v="1"/>
    <x v="0"/>
    <x v="1"/>
    <n v="4"/>
    <n v="2.5"/>
    <n v="1405"/>
    <n v="1.6666666666666667"/>
    <n v="2248"/>
    <n v="1.5"/>
    <n v="843"/>
  </r>
  <r>
    <x v="2"/>
    <n v="203224"/>
    <x v="3"/>
    <n v="1580"/>
    <x v="12"/>
    <n v="1"/>
    <x v="0"/>
    <x v="1"/>
    <n v="4"/>
    <n v="2.5"/>
    <n v="3950"/>
    <n v="1.6666666666666667"/>
    <n v="6320"/>
    <n v="1.5"/>
    <n v="2370"/>
  </r>
  <r>
    <x v="1"/>
    <n v="505496"/>
    <x v="4"/>
    <n v="2151"/>
    <x v="12"/>
    <n v="1"/>
    <x v="0"/>
    <x v="1"/>
    <n v="3"/>
    <n v="1.75"/>
    <n v="3764.25"/>
    <n v="1.4"/>
    <n v="6453"/>
    <n v="1.25"/>
    <n v="2688.75"/>
  </r>
  <r>
    <x v="2"/>
    <n v="354480"/>
    <x v="4"/>
    <n v="986"/>
    <x v="12"/>
    <n v="1"/>
    <x v="0"/>
    <x v="1"/>
    <n v="3"/>
    <n v="1.75"/>
    <n v="1725.5"/>
    <n v="1.4"/>
    <n v="2958"/>
    <n v="1.25"/>
    <n v="1232.5"/>
  </r>
  <r>
    <x v="4"/>
    <n v="711362"/>
    <x v="4"/>
    <n v="2134"/>
    <x v="12"/>
    <n v="1"/>
    <x v="0"/>
    <x v="1"/>
    <n v="3"/>
    <n v="1.75"/>
    <n v="3734.5"/>
    <n v="1.4"/>
    <n v="6402"/>
    <n v="1.25"/>
    <n v="2667.5"/>
  </r>
  <r>
    <x v="2"/>
    <n v="390355"/>
    <x v="4"/>
    <n v="1867"/>
    <x v="12"/>
    <n v="1"/>
    <x v="0"/>
    <x v="1"/>
    <n v="3"/>
    <n v="1.75"/>
    <n v="3267.25"/>
    <n v="1.4"/>
    <n v="5601"/>
    <n v="1.25"/>
    <n v="2333.75"/>
  </r>
  <r>
    <x v="1"/>
    <n v="494850"/>
    <x v="4"/>
    <n v="432"/>
    <x v="12"/>
    <n v="1"/>
    <x v="0"/>
    <x v="1"/>
    <n v="3"/>
    <n v="1.75"/>
    <n v="756"/>
    <n v="1.4"/>
    <n v="1296"/>
    <n v="1.25"/>
    <n v="540"/>
  </r>
  <r>
    <x v="0"/>
    <n v="529471"/>
    <x v="5"/>
    <n v="2087"/>
    <x v="12"/>
    <n v="1"/>
    <x v="0"/>
    <x v="1"/>
    <n v="6"/>
    <n v="3.25"/>
    <n v="6782.75"/>
    <n v="1.1818181818181819"/>
    <n v="12522"/>
    <n v="2.75"/>
    <n v="5739.25"/>
  </r>
  <r>
    <x v="2"/>
    <n v="609418"/>
    <x v="5"/>
    <n v="567"/>
    <x v="12"/>
    <n v="1"/>
    <x v="0"/>
    <x v="1"/>
    <n v="6"/>
    <n v="3.25"/>
    <n v="1842.75"/>
    <n v="1.1818181818181819"/>
    <n v="3402"/>
    <n v="2.75"/>
    <n v="1559.25"/>
  </r>
  <r>
    <x v="1"/>
    <n v="764088"/>
    <x v="5"/>
    <n v="2110"/>
    <x v="12"/>
    <n v="1"/>
    <x v="0"/>
    <x v="1"/>
    <n v="6"/>
    <n v="3.25"/>
    <n v="6857.5"/>
    <n v="1.1818181818181819"/>
    <n v="12660"/>
    <n v="2.75"/>
    <n v="5802.5"/>
  </r>
  <r>
    <x v="3"/>
    <n v="748204"/>
    <x v="5"/>
    <n v="1596"/>
    <x v="12"/>
    <n v="1"/>
    <x v="0"/>
    <x v="1"/>
    <n v="6"/>
    <n v="3.25"/>
    <n v="5187"/>
    <n v="1.1818181818181819"/>
    <n v="9576"/>
    <n v="2.75"/>
    <n v="4389"/>
  </r>
  <r>
    <x v="2"/>
    <n v="253981"/>
    <x v="5"/>
    <n v="663"/>
    <x v="12"/>
    <n v="1"/>
    <x v="0"/>
    <x v="1"/>
    <n v="6"/>
    <n v="3.25"/>
    <n v="2154.75"/>
    <n v="1.1818181818181819"/>
    <n v="3978"/>
    <n v="2.75"/>
    <n v="1823.25"/>
  </r>
  <r>
    <x v="2"/>
    <n v="308620"/>
    <x v="0"/>
    <n v="1143"/>
    <x v="13"/>
    <n v="1"/>
    <x v="1"/>
    <x v="1"/>
    <n v="5"/>
    <n v="3"/>
    <n v="3429"/>
    <n v="1.5"/>
    <n v="5715"/>
    <n v="2"/>
    <n v="2286"/>
  </r>
  <r>
    <x v="4"/>
    <n v="776532"/>
    <x v="0"/>
    <n v="1295"/>
    <x v="13"/>
    <n v="1"/>
    <x v="1"/>
    <x v="1"/>
    <n v="5"/>
    <n v="3"/>
    <n v="3885"/>
    <n v="1.5"/>
    <n v="6475"/>
    <n v="2"/>
    <n v="2590"/>
  </r>
  <r>
    <x v="2"/>
    <n v="164895"/>
    <x v="0"/>
    <n v="2009"/>
    <x v="13"/>
    <n v="1"/>
    <x v="1"/>
    <x v="1"/>
    <n v="5"/>
    <n v="3"/>
    <n v="6027"/>
    <n v="1.5"/>
    <n v="10045"/>
    <n v="2"/>
    <n v="4018"/>
  </r>
  <r>
    <x v="4"/>
    <n v="872825"/>
    <x v="0"/>
    <n v="2031"/>
    <x v="13"/>
    <n v="1"/>
    <x v="1"/>
    <x v="1"/>
    <n v="5"/>
    <n v="3"/>
    <n v="6093"/>
    <n v="1.5"/>
    <n v="10155"/>
    <n v="2"/>
    <n v="4062"/>
  </r>
  <r>
    <x v="1"/>
    <n v="335658"/>
    <x v="0"/>
    <n v="2689"/>
    <x v="13"/>
    <n v="1"/>
    <x v="1"/>
    <x v="1"/>
    <n v="5"/>
    <n v="3"/>
    <n v="8067"/>
    <n v="1.5"/>
    <n v="13445"/>
    <n v="2"/>
    <n v="5378"/>
  </r>
  <r>
    <x v="0"/>
    <n v="852827"/>
    <x v="0"/>
    <n v="861"/>
    <x v="13"/>
    <n v="1"/>
    <x v="1"/>
    <x v="1"/>
    <n v="5"/>
    <n v="3"/>
    <n v="2583"/>
    <n v="1.5"/>
    <n v="4305"/>
    <n v="2"/>
    <n v="1722"/>
  </r>
  <r>
    <x v="2"/>
    <n v="203608"/>
    <x v="0"/>
    <n v="1153"/>
    <x v="13"/>
    <n v="1"/>
    <x v="1"/>
    <x v="1"/>
    <n v="5"/>
    <n v="3"/>
    <n v="3459"/>
    <n v="1.5"/>
    <n v="5765"/>
    <n v="2"/>
    <n v="2306"/>
  </r>
  <r>
    <x v="3"/>
    <n v="171515"/>
    <x v="0"/>
    <n v="1227"/>
    <x v="13"/>
    <n v="1"/>
    <x v="1"/>
    <x v="1"/>
    <n v="5"/>
    <n v="3"/>
    <n v="3681"/>
    <n v="1.5"/>
    <n v="6135"/>
    <n v="2"/>
    <n v="2454"/>
  </r>
  <r>
    <x v="2"/>
    <n v="336267"/>
    <x v="0"/>
    <n v="360"/>
    <x v="13"/>
    <n v="1"/>
    <x v="1"/>
    <x v="1"/>
    <n v="5"/>
    <n v="3"/>
    <n v="1080"/>
    <n v="1.5"/>
    <n v="1800"/>
    <n v="2"/>
    <n v="720"/>
  </r>
  <r>
    <x v="3"/>
    <n v="565251"/>
    <x v="0"/>
    <n v="241"/>
    <x v="13"/>
    <n v="1"/>
    <x v="1"/>
    <x v="1"/>
    <n v="5"/>
    <n v="3"/>
    <n v="723"/>
    <n v="1.5"/>
    <n v="1205"/>
    <n v="2"/>
    <n v="482"/>
  </r>
  <r>
    <x v="3"/>
    <n v="120842"/>
    <x v="0"/>
    <n v="2441"/>
    <x v="13"/>
    <n v="1"/>
    <x v="1"/>
    <x v="1"/>
    <n v="5"/>
    <n v="3"/>
    <n v="7323"/>
    <n v="1.5"/>
    <n v="12205"/>
    <n v="2"/>
    <n v="4882"/>
  </r>
  <r>
    <x v="1"/>
    <n v="714255"/>
    <x v="0"/>
    <n v="2156"/>
    <x v="13"/>
    <n v="1"/>
    <x v="1"/>
    <x v="1"/>
    <n v="5"/>
    <n v="3"/>
    <n v="6468"/>
    <n v="1.5"/>
    <n v="10780"/>
    <n v="2"/>
    <n v="4312"/>
  </r>
  <r>
    <x v="3"/>
    <n v="170514"/>
    <x v="0"/>
    <n v="905"/>
    <x v="13"/>
    <n v="1"/>
    <x v="1"/>
    <x v="1"/>
    <n v="5"/>
    <n v="3"/>
    <n v="2715"/>
    <n v="1.5"/>
    <n v="4525"/>
    <n v="2"/>
    <n v="1810"/>
  </r>
  <r>
    <x v="1"/>
    <n v="626543"/>
    <x v="0"/>
    <n v="1565"/>
    <x v="13"/>
    <n v="1"/>
    <x v="1"/>
    <x v="1"/>
    <n v="5"/>
    <n v="3"/>
    <n v="4695"/>
    <n v="1.5"/>
    <n v="7825"/>
    <n v="2"/>
    <n v="3130"/>
  </r>
  <r>
    <x v="3"/>
    <n v="374010"/>
    <x v="0"/>
    <n v="1249"/>
    <x v="13"/>
    <n v="1"/>
    <x v="1"/>
    <x v="1"/>
    <n v="5"/>
    <n v="3"/>
    <n v="3747"/>
    <n v="1.5"/>
    <n v="6245"/>
    <n v="2"/>
    <n v="2498"/>
  </r>
  <r>
    <x v="2"/>
    <n v="158597"/>
    <x v="0"/>
    <n v="1393"/>
    <x v="13"/>
    <n v="1"/>
    <x v="1"/>
    <x v="1"/>
    <n v="5"/>
    <n v="3"/>
    <n v="4179"/>
    <n v="1.5"/>
    <n v="6965"/>
    <n v="2"/>
    <n v="2786"/>
  </r>
  <r>
    <x v="3"/>
    <n v="898886"/>
    <x v="0"/>
    <n v="2914"/>
    <x v="13"/>
    <n v="1"/>
    <x v="1"/>
    <x v="1"/>
    <n v="5"/>
    <n v="3"/>
    <n v="8742"/>
    <n v="1.5"/>
    <n v="14570"/>
    <n v="2"/>
    <n v="5828"/>
  </r>
  <r>
    <x v="2"/>
    <n v="429735"/>
    <x v="0"/>
    <n v="1731"/>
    <x v="13"/>
    <n v="1"/>
    <x v="1"/>
    <x v="1"/>
    <n v="5"/>
    <n v="3"/>
    <n v="5193"/>
    <n v="1.5"/>
    <n v="8655"/>
    <n v="2"/>
    <n v="3462"/>
  </r>
  <r>
    <x v="2"/>
    <n v="332447"/>
    <x v="0"/>
    <n v="1085"/>
    <x v="13"/>
    <n v="1"/>
    <x v="1"/>
    <x v="1"/>
    <n v="5"/>
    <n v="3"/>
    <n v="3255"/>
    <n v="1.5"/>
    <n v="5425"/>
    <n v="2"/>
    <n v="2170"/>
  </r>
  <r>
    <x v="2"/>
    <n v="837170"/>
    <x v="0"/>
    <n v="1175"/>
    <x v="13"/>
    <n v="1"/>
    <x v="1"/>
    <x v="1"/>
    <n v="5"/>
    <n v="3"/>
    <n v="3525"/>
    <n v="1.5"/>
    <n v="5875"/>
    <n v="2"/>
    <n v="2350"/>
  </r>
  <r>
    <x v="0"/>
    <n v="326089"/>
    <x v="1"/>
    <n v="1566"/>
    <x v="13"/>
    <n v="1"/>
    <x v="1"/>
    <x v="1"/>
    <n v="1"/>
    <n v="0.5"/>
    <n v="783"/>
    <n v="1"/>
    <n v="1566"/>
    <n v="0.5"/>
    <n v="783"/>
  </r>
  <r>
    <x v="0"/>
    <n v="801641"/>
    <x v="1"/>
    <n v="2031"/>
    <x v="13"/>
    <n v="1"/>
    <x v="1"/>
    <x v="1"/>
    <n v="1"/>
    <n v="0.5"/>
    <n v="1015.5"/>
    <n v="1"/>
    <n v="2031"/>
    <n v="0.5"/>
    <n v="1015.5"/>
  </r>
  <r>
    <x v="4"/>
    <n v="574744"/>
    <x v="1"/>
    <n v="2021"/>
    <x v="13"/>
    <n v="1"/>
    <x v="1"/>
    <x v="1"/>
    <n v="1"/>
    <n v="0.5"/>
    <n v="1010.5"/>
    <n v="1"/>
    <n v="2021"/>
    <n v="0.5"/>
    <n v="1010.5"/>
  </r>
  <r>
    <x v="4"/>
    <n v="757336"/>
    <x v="1"/>
    <n v="1976"/>
    <x v="13"/>
    <n v="1"/>
    <x v="1"/>
    <x v="1"/>
    <n v="1"/>
    <n v="0.5"/>
    <n v="988"/>
    <n v="1"/>
    <n v="1976"/>
    <n v="0.5"/>
    <n v="988"/>
  </r>
  <r>
    <x v="0"/>
    <n v="444955"/>
    <x v="1"/>
    <n v="2181"/>
    <x v="13"/>
    <n v="1"/>
    <x v="1"/>
    <x v="1"/>
    <n v="1"/>
    <n v="0.5"/>
    <n v="1090.5"/>
    <n v="1"/>
    <n v="2181"/>
    <n v="0.5"/>
    <n v="1090.5"/>
  </r>
  <r>
    <x v="2"/>
    <n v="533611"/>
    <x v="1"/>
    <n v="2734"/>
    <x v="13"/>
    <n v="1"/>
    <x v="1"/>
    <x v="1"/>
    <n v="1"/>
    <n v="0.5"/>
    <n v="1367"/>
    <n v="1"/>
    <n v="2734"/>
    <n v="0.5"/>
    <n v="1367"/>
  </r>
  <r>
    <x v="3"/>
    <n v="505218"/>
    <x v="1"/>
    <n v="1249"/>
    <x v="13"/>
    <n v="1"/>
    <x v="1"/>
    <x v="1"/>
    <n v="1"/>
    <n v="0.5"/>
    <n v="624.5"/>
    <n v="1"/>
    <n v="1249"/>
    <n v="0.5"/>
    <n v="624.5"/>
  </r>
  <r>
    <x v="2"/>
    <n v="894001"/>
    <x v="1"/>
    <n v="546"/>
    <x v="13"/>
    <n v="1"/>
    <x v="1"/>
    <x v="1"/>
    <n v="1"/>
    <n v="0.5"/>
    <n v="273"/>
    <n v="1"/>
    <n v="546"/>
    <n v="0.5"/>
    <n v="273"/>
  </r>
  <r>
    <x v="3"/>
    <n v="170867"/>
    <x v="2"/>
    <n v="1143"/>
    <x v="13"/>
    <n v="1"/>
    <x v="1"/>
    <x v="1"/>
    <n v="5"/>
    <n v="2.8"/>
    <n v="3200.3999999999996"/>
    <n v="1.2727272727272725"/>
    <n v="5715"/>
    <n v="2.2000000000000002"/>
    <n v="2514.6000000000004"/>
  </r>
  <r>
    <x v="4"/>
    <n v="131700"/>
    <x v="2"/>
    <n v="1269"/>
    <x v="13"/>
    <n v="1"/>
    <x v="1"/>
    <x v="1"/>
    <n v="5"/>
    <n v="2.8"/>
    <n v="3553.2"/>
    <n v="1.2727272727272725"/>
    <n v="6345"/>
    <n v="2.2000000000000002"/>
    <n v="2791.8"/>
  </r>
  <r>
    <x v="4"/>
    <n v="323754"/>
    <x v="2"/>
    <n v="472"/>
    <x v="13"/>
    <n v="1"/>
    <x v="1"/>
    <x v="1"/>
    <n v="5"/>
    <n v="2.8"/>
    <n v="1321.6"/>
    <n v="1.2727272727272725"/>
    <n v="2360"/>
    <n v="2.2000000000000002"/>
    <n v="1038.4000000000001"/>
  </r>
  <r>
    <x v="4"/>
    <n v="723364"/>
    <x v="2"/>
    <n v="2734"/>
    <x v="13"/>
    <n v="1"/>
    <x v="1"/>
    <x v="1"/>
    <n v="5"/>
    <n v="2.8"/>
    <n v="7655.2"/>
    <n v="1.2727272727272727"/>
    <n v="13670"/>
    <n v="2.2000000000000002"/>
    <n v="6014.8"/>
  </r>
  <r>
    <x v="0"/>
    <n v="148871"/>
    <x v="2"/>
    <n v="410"/>
    <x v="13"/>
    <n v="1"/>
    <x v="1"/>
    <x v="1"/>
    <n v="5"/>
    <n v="2.8"/>
    <n v="1148"/>
    <n v="1.2727272727272725"/>
    <n v="2050"/>
    <n v="2.2000000000000002"/>
    <n v="902.00000000000011"/>
  </r>
  <r>
    <x v="3"/>
    <n v="540063"/>
    <x v="2"/>
    <n v="1393"/>
    <x v="13"/>
    <n v="1"/>
    <x v="1"/>
    <x v="1"/>
    <n v="5"/>
    <n v="2.8"/>
    <n v="3900.3999999999996"/>
    <n v="1.2727272727272725"/>
    <n v="6965"/>
    <n v="2.2000000000000002"/>
    <n v="3064.6000000000004"/>
  </r>
  <r>
    <x v="1"/>
    <n v="841420"/>
    <x v="2"/>
    <n v="2914"/>
    <x v="13"/>
    <n v="1"/>
    <x v="1"/>
    <x v="1"/>
    <n v="5"/>
    <n v="2.8"/>
    <n v="8159.2"/>
    <n v="1.2727272727272727"/>
    <n v="14570"/>
    <n v="2.2000000000000002"/>
    <n v="6410.8"/>
  </r>
  <r>
    <x v="1"/>
    <n v="707748"/>
    <x v="2"/>
    <n v="1731"/>
    <x v="13"/>
    <n v="1"/>
    <x v="1"/>
    <x v="1"/>
    <n v="5"/>
    <n v="2.8"/>
    <n v="4846.7999999999993"/>
    <n v="1.2727272727272725"/>
    <n v="8655"/>
    <n v="2.2000000000000002"/>
    <n v="3808.2000000000003"/>
  </r>
  <r>
    <x v="3"/>
    <n v="578917"/>
    <x v="2"/>
    <n v="546"/>
    <x v="13"/>
    <n v="1"/>
    <x v="1"/>
    <x v="1"/>
    <n v="5"/>
    <n v="2.8"/>
    <n v="1528.8"/>
    <n v="1.2727272727272727"/>
    <n v="2730"/>
    <n v="2.2000000000000002"/>
    <n v="1201.2"/>
  </r>
  <r>
    <x v="4"/>
    <n v="128044"/>
    <x v="3"/>
    <n v="1397"/>
    <x v="13"/>
    <n v="1"/>
    <x v="1"/>
    <x v="1"/>
    <n v="4"/>
    <n v="2.5"/>
    <n v="3492.5"/>
    <n v="1.6666666666666667"/>
    <n v="5588"/>
    <n v="1.5"/>
    <n v="2095.5"/>
  </r>
  <r>
    <x v="4"/>
    <n v="601636"/>
    <x v="3"/>
    <n v="1295"/>
    <x v="13"/>
    <n v="1"/>
    <x v="1"/>
    <x v="1"/>
    <n v="4"/>
    <n v="2.5"/>
    <n v="3237.5"/>
    <n v="1.6666666666666667"/>
    <n v="5180"/>
    <n v="1.5"/>
    <n v="1942.5"/>
  </r>
  <r>
    <x v="4"/>
    <n v="725869"/>
    <x v="3"/>
    <n v="2021"/>
    <x v="13"/>
    <n v="1"/>
    <x v="1"/>
    <x v="1"/>
    <n v="4"/>
    <n v="2.5"/>
    <n v="5052.5"/>
    <n v="1.6666666666666667"/>
    <n v="8084"/>
    <n v="1.5"/>
    <n v="3031.5"/>
  </r>
  <r>
    <x v="2"/>
    <n v="310429"/>
    <x v="3"/>
    <n v="2181"/>
    <x v="13"/>
    <n v="1"/>
    <x v="1"/>
    <x v="1"/>
    <n v="4"/>
    <n v="2.5"/>
    <n v="5452.5"/>
    <n v="1.6666666666666667"/>
    <n v="8724"/>
    <n v="1.5"/>
    <n v="3271.5"/>
  </r>
  <r>
    <x v="1"/>
    <n v="363487"/>
    <x v="3"/>
    <n v="2441"/>
    <x v="13"/>
    <n v="1"/>
    <x v="1"/>
    <x v="1"/>
    <n v="4"/>
    <n v="2.5"/>
    <n v="6102.5"/>
    <n v="1.6666666666666667"/>
    <n v="9764"/>
    <n v="1.5"/>
    <n v="3661.5"/>
  </r>
  <r>
    <x v="4"/>
    <n v="694579"/>
    <x v="3"/>
    <n v="2156"/>
    <x v="13"/>
    <n v="1"/>
    <x v="1"/>
    <x v="1"/>
    <n v="4"/>
    <n v="2.5"/>
    <n v="5390"/>
    <n v="1.6666666666666667"/>
    <n v="8624"/>
    <n v="1.5"/>
    <n v="3234"/>
  </r>
  <r>
    <x v="2"/>
    <n v="289035"/>
    <x v="3"/>
    <n v="1496"/>
    <x v="13"/>
    <n v="1"/>
    <x v="1"/>
    <x v="1"/>
    <n v="4"/>
    <n v="2.5"/>
    <n v="3740"/>
    <n v="1.6666666666666667"/>
    <n v="5984"/>
    <n v="1.5"/>
    <n v="2244"/>
  </r>
  <r>
    <x v="1"/>
    <n v="411519"/>
    <x v="3"/>
    <n v="1010"/>
    <x v="13"/>
    <n v="1"/>
    <x v="1"/>
    <x v="1"/>
    <n v="4"/>
    <n v="2.5"/>
    <n v="2525"/>
    <n v="1.6666666666666667"/>
    <n v="4040"/>
    <n v="1.5"/>
    <n v="1515"/>
  </r>
  <r>
    <x v="4"/>
    <n v="329257"/>
    <x v="3"/>
    <n v="1085"/>
    <x v="13"/>
    <n v="1"/>
    <x v="1"/>
    <x v="1"/>
    <n v="4"/>
    <n v="2.5"/>
    <n v="2712.5"/>
    <n v="1.6666666666666667"/>
    <n v="4340"/>
    <n v="1.5"/>
    <n v="1627.5"/>
  </r>
  <r>
    <x v="2"/>
    <n v="791359"/>
    <x v="4"/>
    <n v="1397"/>
    <x v="13"/>
    <n v="1"/>
    <x v="1"/>
    <x v="1"/>
    <n v="3"/>
    <n v="1.75"/>
    <n v="2444.75"/>
    <n v="1.4"/>
    <n v="4191"/>
    <n v="1.25"/>
    <n v="1746.25"/>
  </r>
  <r>
    <x v="4"/>
    <n v="439635"/>
    <x v="4"/>
    <n v="2877"/>
    <x v="13"/>
    <n v="1"/>
    <x v="1"/>
    <x v="1"/>
    <n v="3"/>
    <n v="1.75"/>
    <n v="5034.75"/>
    <n v="1.4"/>
    <n v="8631"/>
    <n v="1.25"/>
    <n v="3596.25"/>
  </r>
  <r>
    <x v="0"/>
    <n v="144559"/>
    <x v="4"/>
    <n v="2177"/>
    <x v="13"/>
    <n v="1"/>
    <x v="1"/>
    <x v="1"/>
    <n v="3"/>
    <n v="1.75"/>
    <n v="3809.75"/>
    <n v="1.4"/>
    <n v="6531"/>
    <n v="1.25"/>
    <n v="2721.25"/>
  </r>
  <r>
    <x v="1"/>
    <n v="639651"/>
    <x v="4"/>
    <n v="2689"/>
    <x v="13"/>
    <n v="1"/>
    <x v="1"/>
    <x v="1"/>
    <n v="3"/>
    <n v="1.75"/>
    <n v="4705.75"/>
    <n v="1.4"/>
    <n v="8067"/>
    <n v="1.25"/>
    <n v="3361.25"/>
  </r>
  <r>
    <x v="4"/>
    <n v="666684"/>
    <x v="4"/>
    <n v="1153"/>
    <x v="13"/>
    <n v="1"/>
    <x v="1"/>
    <x v="1"/>
    <n v="3"/>
    <n v="1.75"/>
    <n v="2017.75"/>
    <n v="1.4"/>
    <n v="3459"/>
    <n v="1.25"/>
    <n v="1441.25"/>
  </r>
  <r>
    <x v="2"/>
    <n v="699845"/>
    <x v="4"/>
    <n v="1227"/>
    <x v="13"/>
    <n v="1"/>
    <x v="1"/>
    <x v="1"/>
    <n v="3"/>
    <n v="1.75"/>
    <n v="2147.25"/>
    <n v="1.4"/>
    <n v="3681"/>
    <n v="1.25"/>
    <n v="1533.75"/>
  </r>
  <r>
    <x v="4"/>
    <n v="881898"/>
    <x v="4"/>
    <n v="360"/>
    <x v="13"/>
    <n v="1"/>
    <x v="1"/>
    <x v="1"/>
    <n v="3"/>
    <n v="1.75"/>
    <n v="630"/>
    <n v="1.4"/>
    <n v="1080"/>
    <n v="1.25"/>
    <n v="450"/>
  </r>
  <r>
    <x v="0"/>
    <n v="305275"/>
    <x v="4"/>
    <n v="986"/>
    <x v="13"/>
    <n v="1"/>
    <x v="1"/>
    <x v="1"/>
    <n v="3"/>
    <n v="1.75"/>
    <n v="1725.5"/>
    <n v="1.4"/>
    <n v="2958"/>
    <n v="1.25"/>
    <n v="1232.5"/>
  </r>
  <r>
    <x v="0"/>
    <n v="762271"/>
    <x v="4"/>
    <n v="1565"/>
    <x v="13"/>
    <n v="1"/>
    <x v="1"/>
    <x v="1"/>
    <n v="3"/>
    <n v="1.75"/>
    <n v="2738.75"/>
    <n v="1.4"/>
    <n v="4695"/>
    <n v="1.25"/>
    <n v="1956.25"/>
  </r>
  <r>
    <x v="2"/>
    <n v="356877"/>
    <x v="4"/>
    <n v="1496"/>
    <x v="13"/>
    <n v="1"/>
    <x v="1"/>
    <x v="1"/>
    <n v="3"/>
    <n v="1.75"/>
    <n v="2618"/>
    <n v="1.4"/>
    <n v="4488"/>
    <n v="1.25"/>
    <n v="1870"/>
  </r>
  <r>
    <x v="1"/>
    <n v="208723"/>
    <x v="4"/>
    <n v="1010"/>
    <x v="13"/>
    <n v="1"/>
    <x v="1"/>
    <x v="1"/>
    <n v="3"/>
    <n v="1.75"/>
    <n v="1767.5"/>
    <n v="1.4"/>
    <n v="3030"/>
    <n v="1.25"/>
    <n v="1262.5"/>
  </r>
  <r>
    <x v="2"/>
    <n v="330030"/>
    <x v="4"/>
    <n v="1175"/>
    <x v="13"/>
    <n v="1"/>
    <x v="1"/>
    <x v="1"/>
    <n v="3"/>
    <n v="1.75"/>
    <n v="2056.25"/>
    <n v="1.4"/>
    <n v="3525"/>
    <n v="1.25"/>
    <n v="1468.75"/>
  </r>
  <r>
    <x v="2"/>
    <n v="149035"/>
    <x v="5"/>
    <n v="1566"/>
    <x v="13"/>
    <n v="1"/>
    <x v="1"/>
    <x v="1"/>
    <n v="6"/>
    <n v="3.25"/>
    <n v="5089.5"/>
    <n v="1.1818181818181819"/>
    <n v="9396"/>
    <n v="2.75"/>
    <n v="4306.5"/>
  </r>
  <r>
    <x v="2"/>
    <n v="426268"/>
    <x v="5"/>
    <n v="2877"/>
    <x v="13"/>
    <n v="1"/>
    <x v="1"/>
    <x v="1"/>
    <n v="6"/>
    <n v="3.25"/>
    <n v="9350.25"/>
    <n v="1.1818181818181819"/>
    <n v="17262"/>
    <n v="2.75"/>
    <n v="7911.75"/>
  </r>
  <r>
    <x v="4"/>
    <n v="899743"/>
    <x v="5"/>
    <n v="2009"/>
    <x v="13"/>
    <n v="1"/>
    <x v="1"/>
    <x v="1"/>
    <n v="6"/>
    <n v="3.25"/>
    <n v="6529.25"/>
    <n v="1.1818181818181819"/>
    <n v="12054"/>
    <n v="2.75"/>
    <n v="5524.75"/>
  </r>
  <r>
    <x v="3"/>
    <n v="375461"/>
    <x v="5"/>
    <n v="2177"/>
    <x v="13"/>
    <n v="1"/>
    <x v="1"/>
    <x v="1"/>
    <n v="6"/>
    <n v="3.25"/>
    <n v="7075.25"/>
    <n v="1.1818181818181819"/>
    <n v="13062"/>
    <n v="2.75"/>
    <n v="5986.75"/>
  </r>
  <r>
    <x v="4"/>
    <n v="304806"/>
    <x v="5"/>
    <n v="861"/>
    <x v="13"/>
    <n v="1"/>
    <x v="1"/>
    <x v="1"/>
    <n v="6"/>
    <n v="3.25"/>
    <n v="2798.25"/>
    <n v="1.1818181818181819"/>
    <n v="5166"/>
    <n v="2.75"/>
    <n v="2367.75"/>
  </r>
  <r>
    <x v="4"/>
    <n v="235009"/>
    <x v="5"/>
    <n v="1976"/>
    <x v="13"/>
    <n v="1"/>
    <x v="1"/>
    <x v="1"/>
    <n v="6"/>
    <n v="3.25"/>
    <n v="6422"/>
    <n v="1.1818181818181819"/>
    <n v="11856"/>
    <n v="2.75"/>
    <n v="5434"/>
  </r>
  <r>
    <x v="3"/>
    <n v="447945"/>
    <x v="5"/>
    <n v="1269"/>
    <x v="13"/>
    <n v="1"/>
    <x v="1"/>
    <x v="1"/>
    <n v="6"/>
    <n v="3.25"/>
    <n v="4124.25"/>
    <n v="1.1818181818181819"/>
    <n v="7614"/>
    <n v="2.75"/>
    <n v="3489.75"/>
  </r>
  <r>
    <x v="2"/>
    <n v="775311"/>
    <x v="5"/>
    <n v="241"/>
    <x v="13"/>
    <n v="1"/>
    <x v="1"/>
    <x v="1"/>
    <n v="6"/>
    <n v="3.25"/>
    <n v="783.25"/>
    <n v="1.1818181818181819"/>
    <n v="1446"/>
    <n v="2.75"/>
    <n v="662.75"/>
  </r>
  <r>
    <x v="2"/>
    <n v="885051"/>
    <x v="5"/>
    <n v="472"/>
    <x v="13"/>
    <n v="1"/>
    <x v="1"/>
    <x v="1"/>
    <n v="6"/>
    <n v="3.25"/>
    <n v="1534"/>
    <n v="1.1818181818181819"/>
    <n v="2832"/>
    <n v="2.75"/>
    <n v="1298"/>
  </r>
  <r>
    <x v="2"/>
    <n v="382008"/>
    <x v="5"/>
    <n v="986"/>
    <x v="13"/>
    <n v="1"/>
    <x v="1"/>
    <x v="1"/>
    <n v="6"/>
    <n v="3.25"/>
    <n v="3204.5"/>
    <n v="1.1818181818181819"/>
    <n v="5916"/>
    <n v="2.75"/>
    <n v="2711.5"/>
  </r>
  <r>
    <x v="3"/>
    <n v="234667"/>
    <x v="5"/>
    <n v="905"/>
    <x v="13"/>
    <n v="1"/>
    <x v="1"/>
    <x v="1"/>
    <n v="6"/>
    <n v="3.25"/>
    <n v="2941.25"/>
    <n v="1.1818181818181819"/>
    <n v="5430"/>
    <n v="2.75"/>
    <n v="2488.75"/>
  </r>
  <r>
    <x v="0"/>
    <n v="617339"/>
    <x v="5"/>
    <n v="410"/>
    <x v="13"/>
    <n v="1"/>
    <x v="1"/>
    <x v="1"/>
    <n v="6"/>
    <n v="3.25"/>
    <n v="1332.5"/>
    <n v="1.1818181818181819"/>
    <n v="2460"/>
    <n v="2.75"/>
    <n v="1127.5"/>
  </r>
  <r>
    <x v="4"/>
    <n v="160202"/>
    <x v="0"/>
    <n v="2905"/>
    <x v="14"/>
    <n v="1"/>
    <x v="2"/>
    <x v="1"/>
    <n v="5"/>
    <n v="3"/>
    <n v="8715"/>
    <n v="1.5"/>
    <n v="14525"/>
    <n v="2"/>
    <n v="5810"/>
  </r>
  <r>
    <x v="2"/>
    <n v="205484"/>
    <x v="0"/>
    <n v="1324"/>
    <x v="14"/>
    <n v="1"/>
    <x v="2"/>
    <x v="1"/>
    <n v="5"/>
    <n v="3"/>
    <n v="3972"/>
    <n v="1.5"/>
    <n v="6620"/>
    <n v="2"/>
    <n v="2648"/>
  </r>
  <r>
    <x v="3"/>
    <n v="781275"/>
    <x v="0"/>
    <n v="1366"/>
    <x v="14"/>
    <n v="1"/>
    <x v="2"/>
    <x v="1"/>
    <n v="5"/>
    <n v="3"/>
    <n v="4098"/>
    <n v="1.5"/>
    <n v="6830"/>
    <n v="2"/>
    <n v="2732"/>
  </r>
  <r>
    <x v="1"/>
    <n v="559510"/>
    <x v="0"/>
    <n v="1594"/>
    <x v="14"/>
    <n v="1"/>
    <x v="2"/>
    <x v="1"/>
    <n v="5"/>
    <n v="3"/>
    <n v="4782"/>
    <n v="1.5"/>
    <n v="7970"/>
    <n v="2"/>
    <n v="3188"/>
  </r>
  <r>
    <x v="2"/>
    <n v="259455"/>
    <x v="0"/>
    <n v="1359"/>
    <x v="14"/>
    <n v="1"/>
    <x v="2"/>
    <x v="1"/>
    <n v="5"/>
    <n v="3"/>
    <n v="4077"/>
    <n v="1.5"/>
    <n v="6795"/>
    <n v="2"/>
    <n v="2718"/>
  </r>
  <r>
    <x v="2"/>
    <n v="389356"/>
    <x v="0"/>
    <n v="2150"/>
    <x v="14"/>
    <n v="1"/>
    <x v="2"/>
    <x v="1"/>
    <n v="5"/>
    <n v="3"/>
    <n v="6450"/>
    <n v="1.5"/>
    <n v="10750"/>
    <n v="2"/>
    <n v="4300"/>
  </r>
  <r>
    <x v="3"/>
    <n v="582048"/>
    <x v="0"/>
    <n v="1197"/>
    <x v="14"/>
    <n v="1"/>
    <x v="2"/>
    <x v="1"/>
    <n v="5"/>
    <n v="3"/>
    <n v="3591"/>
    <n v="1.5"/>
    <n v="5985"/>
    <n v="2"/>
    <n v="2394"/>
  </r>
  <r>
    <x v="3"/>
    <n v="448428"/>
    <x v="0"/>
    <n v="357"/>
    <x v="14"/>
    <n v="1"/>
    <x v="2"/>
    <x v="1"/>
    <n v="5"/>
    <n v="3"/>
    <n v="1071"/>
    <n v="1.5"/>
    <n v="1785"/>
    <n v="2"/>
    <n v="714"/>
  </r>
  <r>
    <x v="1"/>
    <n v="778322"/>
    <x v="0"/>
    <n v="700"/>
    <x v="14"/>
    <n v="1"/>
    <x v="2"/>
    <x v="1"/>
    <n v="5"/>
    <n v="3"/>
    <n v="2100"/>
    <n v="1.5"/>
    <n v="3500"/>
    <n v="2"/>
    <n v="1400"/>
  </r>
  <r>
    <x v="3"/>
    <n v="763666"/>
    <x v="0"/>
    <n v="1177"/>
    <x v="14"/>
    <n v="1"/>
    <x v="2"/>
    <x v="1"/>
    <n v="5"/>
    <n v="3"/>
    <n v="3531"/>
    <n v="1.5"/>
    <n v="5885"/>
    <n v="2"/>
    <n v="2354"/>
  </r>
  <r>
    <x v="3"/>
    <n v="676869"/>
    <x v="1"/>
    <n v="690"/>
    <x v="14"/>
    <n v="1"/>
    <x v="2"/>
    <x v="1"/>
    <n v="1"/>
    <n v="0.5"/>
    <n v="345"/>
    <n v="1"/>
    <n v="690"/>
    <n v="0.5"/>
    <n v="345"/>
  </r>
  <r>
    <x v="4"/>
    <n v="454312"/>
    <x v="1"/>
    <n v="2342"/>
    <x v="14"/>
    <n v="1"/>
    <x v="2"/>
    <x v="1"/>
    <n v="1"/>
    <n v="0.5"/>
    <n v="1171"/>
    <n v="1"/>
    <n v="2342"/>
    <n v="0.5"/>
    <n v="1171"/>
  </r>
  <r>
    <x v="1"/>
    <n v="128675"/>
    <x v="1"/>
    <n v="2723"/>
    <x v="14"/>
    <n v="1"/>
    <x v="2"/>
    <x v="1"/>
    <n v="1"/>
    <n v="0.5"/>
    <n v="1361.5"/>
    <n v="1"/>
    <n v="2723"/>
    <n v="0.5"/>
    <n v="1361.5"/>
  </r>
  <r>
    <x v="0"/>
    <n v="818777"/>
    <x v="1"/>
    <n v="2342"/>
    <x v="14"/>
    <n v="1"/>
    <x v="2"/>
    <x v="1"/>
    <n v="1"/>
    <n v="0.5"/>
    <n v="1171"/>
    <n v="1"/>
    <n v="2342"/>
    <n v="0.5"/>
    <n v="1171"/>
  </r>
  <r>
    <x v="4"/>
    <n v="272243"/>
    <x v="1"/>
    <n v="2321"/>
    <x v="14"/>
    <n v="1"/>
    <x v="2"/>
    <x v="1"/>
    <n v="1"/>
    <n v="0.5"/>
    <n v="1160.5"/>
    <n v="1"/>
    <n v="2321"/>
    <n v="0.5"/>
    <n v="1160.5"/>
  </r>
  <r>
    <x v="2"/>
    <n v="734809"/>
    <x v="2"/>
    <n v="1236"/>
    <x v="14"/>
    <n v="1"/>
    <x v="2"/>
    <x v="1"/>
    <n v="5"/>
    <n v="2.8"/>
    <n v="3460.7999999999997"/>
    <n v="1.2727272727272725"/>
    <n v="6180"/>
    <n v="2.2000000000000002"/>
    <n v="2719.2000000000003"/>
  </r>
  <r>
    <x v="2"/>
    <n v="544809"/>
    <x v="2"/>
    <n v="941"/>
    <x v="14"/>
    <n v="1"/>
    <x v="2"/>
    <x v="1"/>
    <n v="5"/>
    <n v="2.8"/>
    <n v="2634.7999999999997"/>
    <n v="1.2727272727272725"/>
    <n v="4705"/>
    <n v="2.2000000000000002"/>
    <n v="2070.2000000000003"/>
  </r>
  <r>
    <x v="2"/>
    <n v="653226"/>
    <x v="2"/>
    <n v="1118"/>
    <x v="14"/>
    <n v="1"/>
    <x v="2"/>
    <x v="1"/>
    <n v="5"/>
    <n v="2.8"/>
    <n v="3130.3999999999996"/>
    <n v="1.2727272727272725"/>
    <n v="5590"/>
    <n v="2.2000000000000002"/>
    <n v="2459.6000000000004"/>
  </r>
  <r>
    <x v="1"/>
    <n v="872307"/>
    <x v="2"/>
    <n v="1520"/>
    <x v="14"/>
    <n v="1"/>
    <x v="2"/>
    <x v="1"/>
    <n v="5"/>
    <n v="2.8"/>
    <n v="4256"/>
    <n v="1.2727272727272725"/>
    <n v="7600"/>
    <n v="2.2000000000000002"/>
    <n v="3344.0000000000005"/>
  </r>
  <r>
    <x v="3"/>
    <n v="686661"/>
    <x v="2"/>
    <n v="1694"/>
    <x v="14"/>
    <n v="1"/>
    <x v="2"/>
    <x v="1"/>
    <n v="5"/>
    <n v="2.8"/>
    <n v="4743.2"/>
    <n v="1.2727272727272727"/>
    <n v="8470"/>
    <n v="2.2000000000000002"/>
    <n v="3726.8"/>
  </r>
  <r>
    <x v="2"/>
    <n v="812448"/>
    <x v="3"/>
    <n v="2791"/>
    <x v="14"/>
    <n v="1"/>
    <x v="2"/>
    <x v="1"/>
    <n v="4"/>
    <n v="2.5"/>
    <n v="6977.5"/>
    <n v="1.6666666666666667"/>
    <n v="11164"/>
    <n v="1.5"/>
    <n v="4186.5"/>
  </r>
  <r>
    <x v="4"/>
    <n v="768268"/>
    <x v="3"/>
    <n v="2030"/>
    <x v="14"/>
    <n v="1"/>
    <x v="2"/>
    <x v="1"/>
    <n v="4"/>
    <n v="2.5"/>
    <n v="5075"/>
    <n v="1.6666666666666667"/>
    <n v="8120"/>
    <n v="1.5"/>
    <n v="3045"/>
  </r>
  <r>
    <x v="2"/>
    <n v="297812"/>
    <x v="3"/>
    <n v="490"/>
    <x v="14"/>
    <n v="1"/>
    <x v="2"/>
    <x v="1"/>
    <n v="4"/>
    <n v="2.5"/>
    <n v="1225"/>
    <n v="1.6666666666666667"/>
    <n v="1960"/>
    <n v="1.5"/>
    <n v="735"/>
  </r>
  <r>
    <x v="0"/>
    <n v="483789"/>
    <x v="3"/>
    <n v="2689"/>
    <x v="14"/>
    <n v="1"/>
    <x v="2"/>
    <x v="1"/>
    <n v="4"/>
    <n v="2.5"/>
    <n v="6722.5"/>
    <n v="1.6666666666666667"/>
    <n v="10756"/>
    <n v="1.5"/>
    <n v="4033.5"/>
  </r>
  <r>
    <x v="3"/>
    <n v="199710"/>
    <x v="3"/>
    <n v="1513"/>
    <x v="14"/>
    <n v="1"/>
    <x v="2"/>
    <x v="1"/>
    <n v="4"/>
    <n v="2.5"/>
    <n v="3782.5"/>
    <n v="1.6666666666666667"/>
    <n v="6052"/>
    <n v="1.5"/>
    <n v="2269.5"/>
  </r>
  <r>
    <x v="1"/>
    <n v="275167"/>
    <x v="4"/>
    <n v="1744"/>
    <x v="14"/>
    <n v="1"/>
    <x v="2"/>
    <x v="1"/>
    <n v="3"/>
    <n v="1.75"/>
    <n v="3052"/>
    <n v="1.4"/>
    <n v="5232"/>
    <n v="1.25"/>
    <n v="2180"/>
  </r>
  <r>
    <x v="3"/>
    <n v="867837"/>
    <x v="4"/>
    <n v="877"/>
    <x v="14"/>
    <n v="1"/>
    <x v="2"/>
    <x v="1"/>
    <n v="3"/>
    <n v="1.75"/>
    <n v="1534.75"/>
    <n v="1.4"/>
    <n v="2631"/>
    <n v="1.25"/>
    <n v="1096.25"/>
  </r>
  <r>
    <x v="2"/>
    <n v="820943"/>
    <x v="4"/>
    <n v="2529"/>
    <x v="14"/>
    <n v="1"/>
    <x v="2"/>
    <x v="1"/>
    <n v="3"/>
    <n v="1.75"/>
    <n v="4425.75"/>
    <n v="1.4"/>
    <n v="7587"/>
    <n v="1.25"/>
    <n v="3161.25"/>
  </r>
  <r>
    <x v="2"/>
    <n v="601126"/>
    <x v="4"/>
    <n v="2387"/>
    <x v="14"/>
    <n v="1"/>
    <x v="2"/>
    <x v="1"/>
    <n v="3"/>
    <n v="1.75"/>
    <n v="4177.25"/>
    <n v="1.4"/>
    <n v="7161"/>
    <n v="1.25"/>
    <n v="2983.75"/>
  </r>
  <r>
    <x v="4"/>
    <n v="483216"/>
    <x v="4"/>
    <n v="552"/>
    <x v="14"/>
    <n v="1"/>
    <x v="2"/>
    <x v="1"/>
    <n v="3"/>
    <n v="1.75"/>
    <n v="966"/>
    <n v="1.4"/>
    <n v="1656"/>
    <n v="1.25"/>
    <n v="690"/>
  </r>
  <r>
    <x v="3"/>
    <n v="584477"/>
    <x v="5"/>
    <n v="639"/>
    <x v="14"/>
    <n v="1"/>
    <x v="2"/>
    <x v="1"/>
    <n v="6"/>
    <n v="3.25"/>
    <n v="2076.75"/>
    <n v="1.1818181818181819"/>
    <n v="3834"/>
    <n v="2.75"/>
    <n v="1757.25"/>
  </r>
  <r>
    <x v="3"/>
    <n v="169621"/>
    <x v="5"/>
    <n v="1333"/>
    <x v="14"/>
    <n v="1"/>
    <x v="2"/>
    <x v="1"/>
    <n v="6"/>
    <n v="3.25"/>
    <n v="4332.25"/>
    <n v="1.1818181818181819"/>
    <n v="7998"/>
    <n v="2.75"/>
    <n v="3665.75"/>
  </r>
  <r>
    <x v="3"/>
    <n v="433084"/>
    <x v="5"/>
    <n v="547"/>
    <x v="14"/>
    <n v="1"/>
    <x v="2"/>
    <x v="1"/>
    <n v="6"/>
    <n v="3.25"/>
    <n v="1777.75"/>
    <n v="1.1818181818181819"/>
    <n v="3282"/>
    <n v="2.75"/>
    <n v="1504.25"/>
  </r>
  <r>
    <x v="4"/>
    <n v="632477"/>
    <x v="5"/>
    <n v="2665"/>
    <x v="14"/>
    <n v="1"/>
    <x v="2"/>
    <x v="1"/>
    <n v="6"/>
    <n v="3.25"/>
    <n v="8661.25"/>
    <n v="1.1818181818181819"/>
    <n v="15990"/>
    <n v="2.75"/>
    <n v="7328.75"/>
  </r>
  <r>
    <x v="2"/>
    <n v="356550"/>
    <x v="5"/>
    <n v="1808"/>
    <x v="14"/>
    <n v="1"/>
    <x v="2"/>
    <x v="1"/>
    <n v="6"/>
    <n v="3.25"/>
    <n v="5876"/>
    <n v="1.1818181818181819"/>
    <n v="10848"/>
    <n v="2.75"/>
    <n v="4972"/>
  </r>
  <r>
    <x v="4"/>
    <n v="481875"/>
    <x v="0"/>
    <n v="1817"/>
    <x v="15"/>
    <n v="1"/>
    <x v="3"/>
    <x v="1"/>
    <n v="5"/>
    <n v="3"/>
    <n v="5451"/>
    <n v="1.5"/>
    <n v="9085"/>
    <n v="2"/>
    <n v="3634"/>
  </r>
  <r>
    <x v="3"/>
    <n v="183251"/>
    <x v="0"/>
    <n v="1513"/>
    <x v="15"/>
    <n v="1"/>
    <x v="3"/>
    <x v="1"/>
    <n v="5"/>
    <n v="3"/>
    <n v="4539"/>
    <n v="1.5"/>
    <n v="7565"/>
    <n v="2"/>
    <n v="3026"/>
  </r>
  <r>
    <x v="0"/>
    <n v="481324"/>
    <x v="0"/>
    <n v="2155"/>
    <x v="15"/>
    <n v="1"/>
    <x v="3"/>
    <x v="1"/>
    <n v="5"/>
    <n v="3"/>
    <n v="6465"/>
    <n v="1.5"/>
    <n v="10775"/>
    <n v="2"/>
    <n v="4310"/>
  </r>
  <r>
    <x v="1"/>
    <n v="778039"/>
    <x v="0"/>
    <n v="1916"/>
    <x v="15"/>
    <n v="1"/>
    <x v="3"/>
    <x v="1"/>
    <n v="5"/>
    <n v="3"/>
    <n v="5748"/>
    <n v="1.5"/>
    <n v="9580"/>
    <n v="2"/>
    <n v="3832"/>
  </r>
  <r>
    <x v="1"/>
    <n v="177011"/>
    <x v="0"/>
    <n v="2852"/>
    <x v="15"/>
    <n v="1"/>
    <x v="3"/>
    <x v="1"/>
    <n v="5"/>
    <n v="3"/>
    <n v="8556"/>
    <n v="1.5"/>
    <n v="14260"/>
    <n v="2"/>
    <n v="5704"/>
  </r>
  <r>
    <x v="2"/>
    <n v="306694"/>
    <x v="0"/>
    <n v="2729"/>
    <x v="15"/>
    <n v="1"/>
    <x v="3"/>
    <x v="1"/>
    <n v="5"/>
    <n v="3"/>
    <n v="8187"/>
    <n v="1.5"/>
    <n v="13645"/>
    <n v="2"/>
    <n v="5458"/>
  </r>
  <r>
    <x v="1"/>
    <n v="531834"/>
    <x v="0"/>
    <n v="1055"/>
    <x v="15"/>
    <n v="1"/>
    <x v="3"/>
    <x v="1"/>
    <n v="5"/>
    <n v="3"/>
    <n v="3165"/>
    <n v="1.5"/>
    <n v="5275"/>
    <n v="2"/>
    <n v="2110"/>
  </r>
  <r>
    <x v="3"/>
    <n v="300303"/>
    <x v="0"/>
    <n v="1084"/>
    <x v="15"/>
    <n v="1"/>
    <x v="3"/>
    <x v="1"/>
    <n v="5"/>
    <n v="3"/>
    <n v="3252"/>
    <n v="1.5"/>
    <n v="5420"/>
    <n v="2"/>
    <n v="2168"/>
  </r>
  <r>
    <x v="2"/>
    <n v="455780"/>
    <x v="0"/>
    <n v="1287"/>
    <x v="15"/>
    <n v="1"/>
    <x v="3"/>
    <x v="1"/>
    <n v="5"/>
    <n v="3"/>
    <n v="3861"/>
    <n v="1.5"/>
    <n v="6435"/>
    <n v="2"/>
    <n v="2574"/>
  </r>
  <r>
    <x v="2"/>
    <n v="566401"/>
    <x v="0"/>
    <n v="1706"/>
    <x v="15"/>
    <n v="1"/>
    <x v="3"/>
    <x v="1"/>
    <n v="5"/>
    <n v="3"/>
    <n v="5118"/>
    <n v="1.5"/>
    <n v="8530"/>
    <n v="2"/>
    <n v="3412"/>
  </r>
  <r>
    <x v="3"/>
    <n v="817134"/>
    <x v="0"/>
    <n v="274"/>
    <x v="15"/>
    <n v="1"/>
    <x v="3"/>
    <x v="1"/>
    <n v="5"/>
    <n v="3"/>
    <n v="822"/>
    <n v="1.5"/>
    <n v="1370"/>
    <n v="2"/>
    <n v="548"/>
  </r>
  <r>
    <x v="3"/>
    <n v="697568"/>
    <x v="0"/>
    <n v="1138"/>
    <x v="15"/>
    <n v="1"/>
    <x v="3"/>
    <x v="1"/>
    <n v="5"/>
    <n v="3"/>
    <n v="3414"/>
    <n v="1.5"/>
    <n v="5690"/>
    <n v="2"/>
    <n v="2276"/>
  </r>
  <r>
    <x v="1"/>
    <n v="115582"/>
    <x v="0"/>
    <n v="2431"/>
    <x v="15"/>
    <n v="1"/>
    <x v="3"/>
    <x v="1"/>
    <n v="5"/>
    <n v="3"/>
    <n v="7293"/>
    <n v="1.5"/>
    <n v="12155"/>
    <n v="2"/>
    <n v="4862"/>
  </r>
  <r>
    <x v="4"/>
    <n v="444225"/>
    <x v="0"/>
    <n v="2663"/>
    <x v="15"/>
    <n v="1"/>
    <x v="3"/>
    <x v="1"/>
    <n v="5"/>
    <n v="3"/>
    <n v="7989"/>
    <n v="1.5"/>
    <n v="13315"/>
    <n v="2"/>
    <n v="5326"/>
  </r>
  <r>
    <x v="1"/>
    <n v="816536"/>
    <x v="0"/>
    <n v="1362"/>
    <x v="15"/>
    <n v="1"/>
    <x v="3"/>
    <x v="1"/>
    <n v="5"/>
    <n v="3"/>
    <n v="4086"/>
    <n v="1.5"/>
    <n v="6810"/>
    <n v="2"/>
    <n v="2724"/>
  </r>
  <r>
    <x v="4"/>
    <n v="307196"/>
    <x v="0"/>
    <n v="2797"/>
    <x v="15"/>
    <n v="1"/>
    <x v="3"/>
    <x v="1"/>
    <n v="5"/>
    <n v="3"/>
    <n v="8391"/>
    <n v="1.5"/>
    <n v="13985"/>
    <n v="2"/>
    <n v="5594"/>
  </r>
  <r>
    <x v="1"/>
    <n v="514463"/>
    <x v="0"/>
    <n v="1233"/>
    <x v="15"/>
    <n v="1"/>
    <x v="3"/>
    <x v="1"/>
    <n v="5"/>
    <n v="3"/>
    <n v="3699"/>
    <n v="1.5"/>
    <n v="6165"/>
    <n v="2"/>
    <n v="2466"/>
  </r>
  <r>
    <x v="3"/>
    <n v="143923"/>
    <x v="0"/>
    <n v="1531"/>
    <x v="15"/>
    <n v="1"/>
    <x v="3"/>
    <x v="1"/>
    <n v="5"/>
    <n v="3"/>
    <n v="4593"/>
    <n v="1.5"/>
    <n v="7655"/>
    <n v="2"/>
    <n v="3062"/>
  </r>
  <r>
    <x v="4"/>
    <n v="721092"/>
    <x v="0"/>
    <n v="1013"/>
    <x v="15"/>
    <n v="1"/>
    <x v="3"/>
    <x v="1"/>
    <n v="5"/>
    <n v="3"/>
    <n v="3039"/>
    <n v="1.5"/>
    <n v="5065"/>
    <n v="2"/>
    <n v="2026"/>
  </r>
  <r>
    <x v="1"/>
    <n v="855262"/>
    <x v="0"/>
    <n v="914"/>
    <x v="15"/>
    <n v="1"/>
    <x v="3"/>
    <x v="1"/>
    <n v="5"/>
    <n v="3"/>
    <n v="2742"/>
    <n v="1.5"/>
    <n v="4570"/>
    <n v="2"/>
    <n v="1828"/>
  </r>
  <r>
    <x v="4"/>
    <n v="809091"/>
    <x v="0"/>
    <n v="293"/>
    <x v="15"/>
    <n v="1"/>
    <x v="3"/>
    <x v="1"/>
    <n v="5"/>
    <n v="3"/>
    <n v="879"/>
    <n v="1.5"/>
    <n v="1465"/>
    <n v="2"/>
    <n v="586"/>
  </r>
  <r>
    <x v="3"/>
    <n v="227728"/>
    <x v="1"/>
    <n v="615"/>
    <x v="15"/>
    <n v="1"/>
    <x v="3"/>
    <x v="1"/>
    <n v="1"/>
    <n v="0.5"/>
    <n v="307.5"/>
    <n v="1"/>
    <n v="615"/>
    <n v="0.5"/>
    <n v="307.5"/>
  </r>
  <r>
    <x v="3"/>
    <n v="637451"/>
    <x v="1"/>
    <n v="1287"/>
    <x v="15"/>
    <n v="1"/>
    <x v="3"/>
    <x v="1"/>
    <n v="1"/>
    <n v="0.5"/>
    <n v="643.5"/>
    <n v="1"/>
    <n v="1287"/>
    <n v="0.5"/>
    <n v="643.5"/>
  </r>
  <r>
    <x v="3"/>
    <n v="494228"/>
    <x v="1"/>
    <n v="1706"/>
    <x v="15"/>
    <n v="1"/>
    <x v="3"/>
    <x v="1"/>
    <n v="1"/>
    <n v="0.5"/>
    <n v="853"/>
    <n v="1"/>
    <n v="1706"/>
    <n v="0.5"/>
    <n v="853"/>
  </r>
  <r>
    <x v="4"/>
    <n v="130685"/>
    <x v="1"/>
    <n v="1138"/>
    <x v="15"/>
    <n v="1"/>
    <x v="3"/>
    <x v="1"/>
    <n v="1"/>
    <n v="0.5"/>
    <n v="569"/>
    <n v="1"/>
    <n v="1138"/>
    <n v="0.5"/>
    <n v="569"/>
  </r>
  <r>
    <x v="1"/>
    <n v="711452"/>
    <x v="1"/>
    <n v="711"/>
    <x v="15"/>
    <n v="1"/>
    <x v="3"/>
    <x v="1"/>
    <n v="1"/>
    <n v="0.5"/>
    <n v="355.5"/>
    <n v="1"/>
    <n v="711"/>
    <n v="0.5"/>
    <n v="355.5"/>
  </r>
  <r>
    <x v="3"/>
    <n v="390387"/>
    <x v="1"/>
    <n v="2797"/>
    <x v="15"/>
    <n v="1"/>
    <x v="3"/>
    <x v="1"/>
    <n v="1"/>
    <n v="0.5"/>
    <n v="1398.5"/>
    <n v="1"/>
    <n v="2797"/>
    <n v="0.5"/>
    <n v="1398.5"/>
  </r>
  <r>
    <x v="1"/>
    <n v="742570"/>
    <x v="1"/>
    <n v="2072"/>
    <x v="15"/>
    <n v="1"/>
    <x v="3"/>
    <x v="1"/>
    <n v="1"/>
    <n v="0.5"/>
    <n v="1036"/>
    <n v="1"/>
    <n v="2072"/>
    <n v="0.5"/>
    <n v="1036"/>
  </r>
  <r>
    <x v="0"/>
    <n v="881771"/>
    <x v="1"/>
    <n v="2157"/>
    <x v="15"/>
    <n v="1"/>
    <x v="3"/>
    <x v="1"/>
    <n v="1"/>
    <n v="0.5"/>
    <n v="1078.5"/>
    <n v="1"/>
    <n v="2157"/>
    <n v="0.5"/>
    <n v="1078.5"/>
  </r>
  <r>
    <x v="3"/>
    <n v="138137"/>
    <x v="1"/>
    <n v="2300"/>
    <x v="15"/>
    <n v="1"/>
    <x v="3"/>
    <x v="1"/>
    <n v="1"/>
    <n v="0.5"/>
    <n v="1150"/>
    <n v="1"/>
    <n v="2300"/>
    <n v="0.5"/>
    <n v="1150"/>
  </r>
  <r>
    <x v="2"/>
    <n v="183779"/>
    <x v="2"/>
    <n v="615"/>
    <x v="15"/>
    <n v="1"/>
    <x v="3"/>
    <x v="1"/>
    <n v="5"/>
    <n v="2.8"/>
    <n v="1722"/>
    <n v="1.2727272727272727"/>
    <n v="3075"/>
    <n v="2.2000000000000002"/>
    <n v="1353"/>
  </r>
  <r>
    <x v="3"/>
    <n v="580583"/>
    <x v="2"/>
    <n v="1916"/>
    <x v="15"/>
    <n v="1"/>
    <x v="3"/>
    <x v="1"/>
    <n v="5"/>
    <n v="2.8"/>
    <n v="5364.7999999999993"/>
    <n v="1.2727272727272723"/>
    <n v="9580"/>
    <n v="2.2000000000000002"/>
    <n v="4215.2000000000007"/>
  </r>
  <r>
    <x v="2"/>
    <n v="707082"/>
    <x v="2"/>
    <n v="1250"/>
    <x v="15"/>
    <n v="1"/>
    <x v="3"/>
    <x v="1"/>
    <n v="5"/>
    <n v="2.8"/>
    <n v="3500"/>
    <n v="1.2727272727272727"/>
    <n v="6250"/>
    <n v="2.2000000000000002"/>
    <n v="2750"/>
  </r>
  <r>
    <x v="1"/>
    <n v="560670"/>
    <x v="2"/>
    <n v="1372"/>
    <x v="15"/>
    <n v="1"/>
    <x v="3"/>
    <x v="1"/>
    <n v="5"/>
    <n v="2.8"/>
    <n v="3841.6"/>
    <n v="1.2727272727272727"/>
    <n v="6860"/>
    <n v="2.2000000000000002"/>
    <n v="3018.4"/>
  </r>
  <r>
    <x v="1"/>
    <n v="103888"/>
    <x v="2"/>
    <n v="711"/>
    <x v="15"/>
    <n v="1"/>
    <x v="3"/>
    <x v="1"/>
    <n v="5"/>
    <n v="2.8"/>
    <n v="1990.8"/>
    <n v="1.2727272727272727"/>
    <n v="3555"/>
    <n v="2.2000000000000002"/>
    <n v="1564.2"/>
  </r>
  <r>
    <x v="3"/>
    <n v="480891"/>
    <x v="2"/>
    <n v="635"/>
    <x v="15"/>
    <n v="1"/>
    <x v="3"/>
    <x v="1"/>
    <n v="5"/>
    <n v="2.8"/>
    <n v="1778"/>
    <n v="1.2727272727272727"/>
    <n v="3175"/>
    <n v="2.2000000000000002"/>
    <n v="1397"/>
  </r>
  <r>
    <x v="1"/>
    <n v="190154"/>
    <x v="2"/>
    <n v="2072"/>
    <x v="15"/>
    <n v="1"/>
    <x v="3"/>
    <x v="1"/>
    <n v="5"/>
    <n v="2.8"/>
    <n v="5801.5999999999995"/>
    <n v="1.2727272727272725"/>
    <n v="10360"/>
    <n v="2.2000000000000002"/>
    <n v="4558.4000000000005"/>
  </r>
  <r>
    <x v="3"/>
    <n v="681348"/>
    <x v="2"/>
    <n v="853"/>
    <x v="15"/>
    <n v="1"/>
    <x v="3"/>
    <x v="1"/>
    <n v="5"/>
    <n v="2.8"/>
    <n v="2388.3999999999996"/>
    <n v="1.2727272727272725"/>
    <n v="4265"/>
    <n v="2.2000000000000002"/>
    <n v="1876.6000000000001"/>
  </r>
  <r>
    <x v="1"/>
    <n v="441751"/>
    <x v="2"/>
    <n v="2157"/>
    <x v="15"/>
    <n v="1"/>
    <x v="3"/>
    <x v="1"/>
    <n v="5"/>
    <n v="2.8"/>
    <n v="6039.5999999999995"/>
    <n v="1.2727272727272725"/>
    <n v="10785"/>
    <n v="2.2000000000000002"/>
    <n v="4745.4000000000005"/>
  </r>
  <r>
    <x v="4"/>
    <n v="682634"/>
    <x v="3"/>
    <n v="1513"/>
    <x v="15"/>
    <n v="1"/>
    <x v="3"/>
    <x v="1"/>
    <n v="4"/>
    <n v="2.5"/>
    <n v="3782.5"/>
    <n v="1.6666666666666667"/>
    <n v="6052"/>
    <n v="1.5"/>
    <n v="2269.5"/>
  </r>
  <r>
    <x v="4"/>
    <n v="338090"/>
    <x v="3"/>
    <n v="2155"/>
    <x v="15"/>
    <n v="1"/>
    <x v="3"/>
    <x v="1"/>
    <n v="4"/>
    <n v="2.5"/>
    <n v="5387.5"/>
    <n v="1.6666666666666667"/>
    <n v="8620"/>
    <n v="1.5"/>
    <n v="3232.5"/>
  </r>
  <r>
    <x v="0"/>
    <n v="866409"/>
    <x v="3"/>
    <n v="2852"/>
    <x v="15"/>
    <n v="1"/>
    <x v="3"/>
    <x v="1"/>
    <n v="4"/>
    <n v="2.5"/>
    <n v="7130"/>
    <n v="1.6666666666666667"/>
    <n v="11408"/>
    <n v="1.5"/>
    <n v="4278"/>
  </r>
  <r>
    <x v="4"/>
    <n v="882680"/>
    <x v="3"/>
    <n v="274"/>
    <x v="15"/>
    <n v="1"/>
    <x v="3"/>
    <x v="1"/>
    <n v="4"/>
    <n v="2.5"/>
    <n v="685"/>
    <n v="1.6666666666666667"/>
    <n v="1096"/>
    <n v="1.5"/>
    <n v="411"/>
  </r>
  <r>
    <x v="2"/>
    <n v="539656"/>
    <x v="3"/>
    <n v="570"/>
    <x v="15"/>
    <n v="1"/>
    <x v="3"/>
    <x v="1"/>
    <n v="4"/>
    <n v="2.5"/>
    <n v="1425"/>
    <n v="1.6666666666666667"/>
    <n v="2280"/>
    <n v="1.5"/>
    <n v="855"/>
  </r>
  <r>
    <x v="2"/>
    <n v="348955"/>
    <x v="3"/>
    <n v="2487"/>
    <x v="15"/>
    <n v="1"/>
    <x v="3"/>
    <x v="1"/>
    <n v="4"/>
    <n v="2.5"/>
    <n v="6217.5"/>
    <n v="1.6666666666666667"/>
    <n v="9948"/>
    <n v="1.5"/>
    <n v="3730.5"/>
  </r>
  <r>
    <x v="4"/>
    <n v="702657"/>
    <x v="3"/>
    <n v="1362"/>
    <x v="15"/>
    <n v="1"/>
    <x v="3"/>
    <x v="1"/>
    <n v="4"/>
    <n v="2.5"/>
    <n v="3405"/>
    <n v="1.6666666666666667"/>
    <n v="5448"/>
    <n v="1.5"/>
    <n v="2043"/>
  </r>
  <r>
    <x v="2"/>
    <n v="361276"/>
    <x v="3"/>
    <n v="521"/>
    <x v="15"/>
    <n v="1"/>
    <x v="3"/>
    <x v="1"/>
    <n v="4"/>
    <n v="2.5"/>
    <n v="1302.5"/>
    <n v="1.6666666666666667"/>
    <n v="2084"/>
    <n v="1.5"/>
    <n v="781.5"/>
  </r>
  <r>
    <x v="4"/>
    <n v="684001"/>
    <x v="3"/>
    <n v="280"/>
    <x v="15"/>
    <n v="1"/>
    <x v="3"/>
    <x v="1"/>
    <n v="4"/>
    <n v="2.5"/>
    <n v="700"/>
    <n v="1.6666666666666667"/>
    <n v="1120"/>
    <n v="1.5"/>
    <n v="420"/>
  </r>
  <r>
    <x v="4"/>
    <n v="632637"/>
    <x v="3"/>
    <n v="2300"/>
    <x v="15"/>
    <n v="1"/>
    <x v="3"/>
    <x v="1"/>
    <n v="4"/>
    <n v="2.5"/>
    <n v="5750"/>
    <n v="1.6666666666666667"/>
    <n v="9200"/>
    <n v="1.5"/>
    <n v="3450"/>
  </r>
  <r>
    <x v="4"/>
    <n v="745887"/>
    <x v="4"/>
    <n v="1817"/>
    <x v="15"/>
    <n v="1"/>
    <x v="3"/>
    <x v="1"/>
    <n v="3"/>
    <n v="1.75"/>
    <n v="3179.75"/>
    <n v="1.4"/>
    <n v="5451"/>
    <n v="1.25"/>
    <n v="2271.25"/>
  </r>
  <r>
    <x v="4"/>
    <n v="752965"/>
    <x v="4"/>
    <n v="2729"/>
    <x v="15"/>
    <n v="1"/>
    <x v="3"/>
    <x v="1"/>
    <n v="3"/>
    <n v="1.75"/>
    <n v="4775.75"/>
    <n v="1.4"/>
    <n v="8187"/>
    <n v="1.25"/>
    <n v="3411.25"/>
  </r>
  <r>
    <x v="2"/>
    <n v="774130"/>
    <x v="4"/>
    <n v="2663"/>
    <x v="15"/>
    <n v="1"/>
    <x v="3"/>
    <x v="1"/>
    <n v="3"/>
    <n v="1.75"/>
    <n v="4660.25"/>
    <n v="1.4"/>
    <n v="7989"/>
    <n v="1.25"/>
    <n v="3328.75"/>
  </r>
  <r>
    <x v="2"/>
    <n v="899502"/>
    <x v="4"/>
    <n v="570"/>
    <x v="15"/>
    <n v="1"/>
    <x v="3"/>
    <x v="1"/>
    <n v="3"/>
    <n v="1.75"/>
    <n v="997.5"/>
    <n v="1.4"/>
    <n v="1710"/>
    <n v="1.25"/>
    <n v="712.5"/>
  </r>
  <r>
    <x v="1"/>
    <n v="792599"/>
    <x v="4"/>
    <n v="2487"/>
    <x v="15"/>
    <n v="1"/>
    <x v="3"/>
    <x v="1"/>
    <n v="3"/>
    <n v="1.75"/>
    <n v="4352.25"/>
    <n v="1.4"/>
    <n v="7461"/>
    <n v="1.25"/>
    <n v="3108.75"/>
  </r>
  <r>
    <x v="0"/>
    <n v="628954"/>
    <x v="4"/>
    <n v="1582"/>
    <x v="15"/>
    <n v="1"/>
    <x v="3"/>
    <x v="1"/>
    <n v="3"/>
    <n v="1.75"/>
    <n v="2768.5"/>
    <n v="1.4"/>
    <n v="4746"/>
    <n v="1.25"/>
    <n v="1977.5"/>
  </r>
  <r>
    <x v="0"/>
    <n v="102288"/>
    <x v="4"/>
    <n v="521"/>
    <x v="15"/>
    <n v="1"/>
    <x v="3"/>
    <x v="1"/>
    <n v="3"/>
    <n v="1.75"/>
    <n v="911.75"/>
    <n v="1.4"/>
    <n v="1563"/>
    <n v="1.25"/>
    <n v="651.25"/>
  </r>
  <r>
    <x v="3"/>
    <n v="871331"/>
    <x v="4"/>
    <n v="1233"/>
    <x v="15"/>
    <n v="1"/>
    <x v="3"/>
    <x v="1"/>
    <n v="3"/>
    <n v="1.75"/>
    <n v="2157.75"/>
    <n v="1.4"/>
    <n v="3699"/>
    <n v="1.25"/>
    <n v="1541.25"/>
  </r>
  <r>
    <x v="4"/>
    <n v="521663"/>
    <x v="4"/>
    <n v="1531"/>
    <x v="15"/>
    <n v="1"/>
    <x v="3"/>
    <x v="1"/>
    <n v="3"/>
    <n v="1.75"/>
    <n v="2679.25"/>
    <n v="1.4"/>
    <n v="4593"/>
    <n v="1.25"/>
    <n v="1913.75"/>
  </r>
  <r>
    <x v="3"/>
    <n v="528145"/>
    <x v="4"/>
    <n v="280"/>
    <x v="15"/>
    <n v="1"/>
    <x v="3"/>
    <x v="1"/>
    <n v="3"/>
    <n v="1.75"/>
    <n v="490"/>
    <n v="1.4"/>
    <n v="840"/>
    <n v="1.25"/>
    <n v="350"/>
  </r>
  <r>
    <x v="0"/>
    <n v="887151"/>
    <x v="4"/>
    <n v="293"/>
    <x v="15"/>
    <n v="1"/>
    <x v="3"/>
    <x v="1"/>
    <n v="3"/>
    <n v="1.75"/>
    <n v="512.75"/>
    <n v="1.4"/>
    <n v="879"/>
    <n v="1.25"/>
    <n v="366.25"/>
  </r>
  <r>
    <x v="3"/>
    <n v="367956"/>
    <x v="5"/>
    <n v="1055"/>
    <x v="15"/>
    <n v="1"/>
    <x v="3"/>
    <x v="1"/>
    <n v="6"/>
    <n v="3.25"/>
    <n v="3428.75"/>
    <n v="1.1818181818181819"/>
    <n v="6330"/>
    <n v="2.75"/>
    <n v="2901.25"/>
  </r>
  <r>
    <x v="2"/>
    <n v="765978"/>
    <x v="5"/>
    <n v="1084"/>
    <x v="15"/>
    <n v="1"/>
    <x v="3"/>
    <x v="1"/>
    <n v="6"/>
    <n v="3.25"/>
    <n v="3523"/>
    <n v="1.1818181818181819"/>
    <n v="6504"/>
    <n v="2.75"/>
    <n v="2981"/>
  </r>
  <r>
    <x v="4"/>
    <n v="673372"/>
    <x v="5"/>
    <n v="2431"/>
    <x v="15"/>
    <n v="1"/>
    <x v="3"/>
    <x v="1"/>
    <n v="6"/>
    <n v="3.25"/>
    <n v="7900.75"/>
    <n v="1.1818181818181819"/>
    <n v="14586"/>
    <n v="2.75"/>
    <n v="6685.25"/>
  </r>
  <r>
    <x v="2"/>
    <n v="553803"/>
    <x v="5"/>
    <n v="1250"/>
    <x v="15"/>
    <n v="1"/>
    <x v="3"/>
    <x v="1"/>
    <n v="6"/>
    <n v="3.25"/>
    <n v="4062.5"/>
    <n v="1.1818181818181819"/>
    <n v="7500"/>
    <n v="2.75"/>
    <n v="3437.5"/>
  </r>
  <r>
    <x v="2"/>
    <n v="818350"/>
    <x v="5"/>
    <n v="1582"/>
    <x v="15"/>
    <n v="1"/>
    <x v="3"/>
    <x v="1"/>
    <n v="6"/>
    <n v="3.25"/>
    <n v="5141.5"/>
    <n v="1.1818181818181819"/>
    <n v="9492"/>
    <n v="2.75"/>
    <n v="4350.5"/>
  </r>
  <r>
    <x v="4"/>
    <n v="640346"/>
    <x v="5"/>
    <n v="1372"/>
    <x v="15"/>
    <n v="1"/>
    <x v="3"/>
    <x v="1"/>
    <n v="6"/>
    <n v="3.25"/>
    <n v="4459"/>
    <n v="1.1818181818181819"/>
    <n v="8232"/>
    <n v="2.75"/>
    <n v="3773"/>
  </r>
  <r>
    <x v="3"/>
    <n v="751314"/>
    <x v="5"/>
    <n v="635"/>
    <x v="15"/>
    <n v="1"/>
    <x v="3"/>
    <x v="1"/>
    <n v="6"/>
    <n v="3.25"/>
    <n v="2063.75"/>
    <n v="1.1818181818181819"/>
    <n v="3810"/>
    <n v="2.75"/>
    <n v="1746.25"/>
  </r>
  <r>
    <x v="0"/>
    <n v="428131"/>
    <x v="5"/>
    <n v="853"/>
    <x v="15"/>
    <n v="1"/>
    <x v="3"/>
    <x v="1"/>
    <n v="6"/>
    <n v="3.25"/>
    <n v="2772.25"/>
    <n v="1.1818181818181819"/>
    <n v="5118"/>
    <n v="2.75"/>
    <n v="2345.75"/>
  </r>
  <r>
    <x v="3"/>
    <n v="758487"/>
    <x v="5"/>
    <n v="1013"/>
    <x v="15"/>
    <n v="1"/>
    <x v="3"/>
    <x v="1"/>
    <n v="6"/>
    <n v="3.25"/>
    <n v="3292.25"/>
    <n v="1.1818181818181819"/>
    <n v="6078"/>
    <n v="2.75"/>
    <n v="2785.75"/>
  </r>
  <r>
    <x v="4"/>
    <n v="414628"/>
    <x v="5"/>
    <n v="914"/>
    <x v="15"/>
    <n v="1"/>
    <x v="3"/>
    <x v="1"/>
    <n v="6"/>
    <n v="3.25"/>
    <n v="2970.5"/>
    <n v="1.1818181818181819"/>
    <n v="5484"/>
    <n v="2.75"/>
    <n v="251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056C3-B5DA-4BD8-85CF-A96FD54E6F16}" name="PivotTable1" cacheId="4433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0">
  <location ref="A20:D39" firstHeaderRow="0" firstDataRow="1" firstDataCol="2"/>
  <pivotFields count="15">
    <pivotField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4" outline="0" showAll="0"/>
    <pivotField compact="0" numFmtId="14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/>
    <pivotField axis="axisRow" compact="0" outline="0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numFmtId="10" outline="0" showAll="0"/>
    <pivotField dataField="1" compact="0" outline="0" showAll="0"/>
    <pivotField compact="0" numFmtId="2" outline="0" showAll="0"/>
    <pivotField dataField="1" compact="0" outline="0" showAll="0"/>
  </pivotFields>
  <rowFields count="2">
    <field x="7"/>
    <field x="6"/>
  </rowFields>
  <rowItems count="19">
    <i>
      <x/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2" baseField="0" baseItem="0"/>
    <dataField name="Sum of Cost" fld="14" baseField="0" baseItem="0"/>
  </dataFields>
  <formats count="1">
    <format dxfId="43">
      <pivotArea outline="0" collapsedLevelsAreSubtotals="1" fieldPosition="0"/>
    </format>
  </formats>
  <chartFormats count="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AB21E-C45A-4156-BE00-0DF9DCE482EF}" name="PivotTable1" cacheId="4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H10" firstHeaderRow="1" firstDataRow="2" firstDataCol="1"/>
  <pivotFields count="15">
    <pivotField axis="axisRow" compact="0" outline="0" showAll="0" sortType="de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numFmtId="14" outline="0" showAll="0"/>
    <pivotField compact="0" outline="0" showAll="0"/>
    <pivotField compact="0" outline="0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numFmtId="10" outline="0" showAll="0"/>
    <pivotField compact="0" outline="0" showAll="0"/>
    <pivotField compact="0" numFmtId="2" outline="0" showAll="0"/>
    <pivotField compact="0" outline="0" showAll="0"/>
  </pivotFields>
  <rowFields count="1">
    <field x="0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2"/>
  </colFields>
  <colItems count="7">
    <i>
      <x/>
    </i>
    <i>
      <x v="4"/>
    </i>
    <i>
      <x v="5"/>
    </i>
    <i>
      <x v="2"/>
    </i>
    <i>
      <x v="1"/>
    </i>
    <i>
      <x v="3"/>
    </i>
    <i t="grand">
      <x/>
    </i>
  </colItems>
  <dataFields count="1">
    <dataField name="Sum of Units Sold" fld="3" baseField="0" baseItem="0"/>
  </dataFields>
  <formats count="10">
    <format dxfId="33">
      <pivotArea type="all" dataOnly="0" outline="0" fieldPosition="0"/>
    </format>
    <format dxfId="34">
      <pivotArea outline="0" collapsedLevelsAreSubtotals="1" fieldPosition="0"/>
    </format>
    <format dxfId="35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7">
      <pivotArea type="topRight" dataOnly="0" labelOnly="1" outline="0" fieldPosition="0"/>
    </format>
    <format dxfId="38">
      <pivotArea field="0" type="button" dataOnly="0" labelOnly="1" outline="0" axis="axisRow" fieldPosition="0"/>
    </format>
    <format dxfId="39">
      <pivotArea dataOnly="0" labelOnly="1" outline="0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41">
      <pivotArea dataOnly="0" labelOnly="1" outline="0" fieldPosition="0">
        <references count="1">
          <reference field="2" count="0"/>
        </references>
      </pivotArea>
    </format>
    <format dxfId="42">
      <pivotArea dataOnly="0" labelOnly="1" grandCol="1" outline="0" fieldPosition="0"/>
    </format>
  </formats>
  <chartFormats count="48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110B6-4EEE-47A1-85D8-B994C20FA949}" name="PivotTable1" cacheId="4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D11" firstHeaderRow="1" firstDataRow="2" firstDataCol="1"/>
  <pivotFields count="15">
    <pivotField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axis="axisRow" compact="0" outline="0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4" outline="0" showAll="0"/>
    <pivotField compact="0" outline="0" showAll="0"/>
    <pivotField compact="0" outline="0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Col" compact="0" outline="0" showAll="0" sortType="ascending">
      <items count="3">
        <item x="0"/>
        <item x="1"/>
        <item t="default"/>
      </items>
    </pivotField>
    <pivotField compact="0" numFmtId="164" outline="0" showAll="0"/>
    <pivotField compact="0" numFmtId="164" outline="0" showAll="0"/>
    <pivotField dataField="1" compact="0" outline="0" showAll="0"/>
    <pivotField compact="0" numFmtId="10" outline="0" showAll="0"/>
    <pivotField compact="0" outline="0" showAll="0"/>
    <pivotField compact="0" numFmtId="2" outline="0" showAll="0"/>
    <pivotField compact="0" outline="0" showAll="0"/>
  </pivotFields>
  <rowFields count="1">
    <field x="2"/>
  </rowFields>
  <rowItems count="7">
    <i>
      <x/>
    </i>
    <i>
      <x v="5"/>
    </i>
    <i>
      <x v="2"/>
    </i>
    <i>
      <x v="3"/>
    </i>
    <i>
      <x v="4"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Net Profit" fld="10" baseField="0" baseItem="0" numFmtId="168"/>
  </dataFields>
  <formats count="1">
    <format dxfId="32">
      <pivotArea outline="0" collapsedLevelsAreSubtotals="1" fieldPosition="0"/>
    </format>
  </formats>
  <chartFormats count="8"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32EC5BE3-86B4-4F96-9C1C-B07FB506F9A1}" sourceName="Year">
  <pivotTables>
    <pivotTable tabId="4" name="PivotTable1"/>
    <pivotTable tabId="5" name="PivotTable1"/>
    <pivotTable tabId="6" name="PivotTable1"/>
  </pivotTables>
  <data>
    <tabular pivotCacheId="860000809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530A0AF3-F716-4C07-872B-3663B11FAC8F}" sourceName="Month">
  <pivotTables>
    <pivotTable tabId="4" name="PivotTable1"/>
    <pivotTable tabId="5" name="PivotTable1"/>
    <pivotTable tabId="6" name="PivotTable1"/>
  </pivotTables>
  <data>
    <tabular pivotCacheId="860000809">
      <items count="12">
        <i x="4" s="1"/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ID" xr10:uid="{9A47359D-7DCB-4B1E-AEC1-69DDCBEDD7B8}" sourceName="Customer ID">
  <pivotTables>
    <pivotTable tabId="4" name="PivotTable1"/>
    <pivotTable tabId="5" name="PivotTable1"/>
    <pivotTable tabId="6" name="PivotTable1"/>
  </pivotTables>
  <data>
    <tabular pivotCacheId="860000809">
      <items count="5">
        <i x="0" s="1"/>
        <i x="2" s="1"/>
        <i x="3" s="1"/>
        <i x="4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49F881A1-972B-4CAA-BFBB-FE1D08F6153B}" sourceName="Product">
  <pivotTables>
    <pivotTable tabId="5" name="PivotTable1"/>
    <pivotTable tabId="4" name="PivotTable1"/>
    <pivotTable tabId="6" name="PivotTable1"/>
  </pivotTables>
  <data>
    <tabular pivotCacheId="860000809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2A98343C-9DE4-4A8B-85D9-7F1CBC522B9C}" cache="Slicer_Year" caption="Year" rowHeight="228600"/>
  <slicer name="Month" xr10:uid="{79E09426-C406-40F3-9E7D-517F9671E947}" cache="Slicer_Month" caption="Month" rowHeight="228600"/>
  <slicer name="Customer ID" xr10:uid="{C9FF58AA-9B14-4E3B-B7B5-39A898C71974}" cache="Slicer_Customer_ID" caption="Customer ID" rowHeight="228600"/>
  <slicer name="Product" xr10:uid="{47AF1F4F-CF06-483B-A440-A4AA5DE1DC99}" cache="Slicer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J701" totalsRowShown="0">
  <autoFilter ref="A1:J701" xr:uid="{0CD37763-51E1-446D-87E3-8273F78F98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701">
    <sortCondition ref="E1:E701"/>
  </sortState>
  <tableColumns count="10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30" totalsRowDxfId="31" dataCellStyle="Comma"/>
    <tableColumn id="5" xr3:uid="{C892C2CE-5CE0-40E5-806D-9AC38F1B81A8}" name="Date" dataDxfId="28" totalsRowDxfId="29"/>
    <tableColumn id="6" xr3:uid="{7478CEF0-41FA-4D85-8340-EC7D7DD03AA9}" name="Day" dataDxfId="26" totalsRowDxfId="27"/>
    <tableColumn id="7" xr3:uid="{92E6B5FB-39B2-4F4B-970C-96F7062A59CB}" name="Month" dataDxfId="24" totalsRowDxfId="25"/>
    <tableColumn id="10" xr3:uid="{B6713133-344A-41A3-90B3-D9F9CDEE231E}" name="Year" dataDxfId="22" totalsRowDxfId="23"/>
    <tableColumn id="8" xr3:uid="{2CFD1481-4C1C-4116-BE05-4C4612BBA8D6}" name="Revenue" dataDxfId="21"/>
    <tableColumn id="9" xr3:uid="{7CEC9E91-3DB0-4B02-B0AD-9A1CBE5DC4BD}" name="Cost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BE89C-14DC-40A8-B82B-18F83449080F}" name="Table32" displayName="Table32" ref="A1:O701" totalsRowShown="0">
  <autoFilter ref="A1:O701" xr:uid="{0CD37763-51E1-446D-87E3-8273F78F98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2:O701">
    <sortCondition ref="E1:E701"/>
  </sortState>
  <tableColumns count="15">
    <tableColumn id="1" xr3:uid="{930BAFCB-DEA0-4D6D-B12C-8F98016E6BDB}" name="Customer ID"/>
    <tableColumn id="2" xr3:uid="{EB25D34E-0A34-422E-B263-5E40A0A49892}" name="Order ID"/>
    <tableColumn id="3" xr3:uid="{51463DF0-DA6E-4CD0-BA4E-16E96D8C2F6C}" name="Product"/>
    <tableColumn id="4" xr3:uid="{779EA9BD-51A8-4BA3-9462-DED44BA2494A}" name="Units Sold" dataDxfId="18" totalsRowDxfId="19" dataCellStyle="Comma"/>
    <tableColumn id="5" xr3:uid="{0516B8DD-1294-49BE-B420-59B970FC316E}" name="Date" dataDxfId="16" totalsRowDxfId="17"/>
    <tableColumn id="6" xr3:uid="{98D374EC-470A-40CF-810B-F27AFABB07A5}" name="Day" dataDxfId="14" totalsRowDxfId="15"/>
    <tableColumn id="7" xr3:uid="{F1E83A38-E405-4005-A0EC-238CF8D73A08}" name="Month" dataDxfId="12" totalsRowDxfId="13"/>
    <tableColumn id="10" xr3:uid="{42AE3C01-8C7D-44E3-9CEA-2C26D8584493}" name="Year" dataDxfId="10" totalsRowDxfId="11"/>
    <tableColumn id="11" xr3:uid="{4D46576D-86FD-41D5-8EE5-E990A7088288}" name="revenue/unit" dataDxfId="8" totalsRowDxfId="9">
      <calculatedColumnFormula>(Table32[[#This Row],[Revenue]]/Table32[[#This Row],[Units Sold]])</calculatedColumnFormula>
    </tableColumn>
    <tableColumn id="15" xr3:uid="{55BA3014-7512-4211-8B8E-7F65BA07453C}" name="Profit/unit" dataDxfId="6" totalsRowDxfId="7">
      <calculatedColumnFormula>Table32[[#This Row],[revenue/unit]]-Table32[[#This Row],[Cost/unit]]</calculatedColumnFormula>
    </tableColumn>
    <tableColumn id="13" xr3:uid="{894A1EF9-A3C1-4E42-A2A6-1A8486CF8A91}" name="Net Profit" dataDxfId="4" totalsRowDxfId="5">
      <calculatedColumnFormula>Table32[[#This Row],[Revenue]]-Table32[[#This Row],[Cost]]</calculatedColumnFormula>
    </tableColumn>
    <tableColumn id="14" xr3:uid="{3D71367E-C7FF-4542-B597-EEEA1D8ACCDC}" name="Profit %" dataDxfId="3">
      <calculatedColumnFormula>Table32[[#This Row],[Net Profit]]/Table32[[#This Row],[Cost]]</calculatedColumnFormula>
    </tableColumn>
    <tableColumn id="8" xr3:uid="{F4E6C671-4CB6-49AC-943B-1A3EF604B7B0}" name="Revenue" dataDxfId="2"/>
    <tableColumn id="12" xr3:uid="{1932A008-F323-439D-B646-38A4B177CA6C}" name="Cost/unit" dataDxfId="1">
      <calculatedColumnFormula>Table32[[#This Row],[Cost]]/Table32[[#This Row],[Units Sold]]</calculatedColumnFormula>
    </tableColumn>
    <tableColumn id="9" xr3:uid="{E28C9405-52DE-4A17-94B2-F3E3AECE938B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022CFBD2-1BD0-4DA6-B37E-F5B4FB87425E}" sourceName="Date">
  <pivotTables>
    <pivotTable tabId="6" name="PivotTable1"/>
  </pivotTables>
  <state minimalRefreshVersion="6" lastRefreshVersion="6" pivotCacheId="860000809" filterType="unknown">
    <bounds startDate="2019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1512BB7-2021-4E77-9CCF-B8D2D51E8618}" cache="NativeTimeline_Date" caption="Date" level="2" selectionLevel="2" scrollPosition="2021-01-02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N704"/>
  <sheetViews>
    <sheetView workbookViewId="0">
      <selection activeCell="J710" sqref="J710"/>
    </sheetView>
  </sheetViews>
  <sheetFormatPr defaultRowHeight="15"/>
  <cols>
    <col min="1" max="1" width="14.140625" bestFit="1" customWidth="1"/>
    <col min="2" max="2" width="10.7109375" bestFit="1" customWidth="1"/>
    <col min="3" max="3" width="30.7109375" customWidth="1"/>
    <col min="4" max="4" width="12.28515625" bestFit="1" customWidth="1"/>
    <col min="5" max="5" width="10.140625" style="1" bestFit="1" customWidth="1"/>
    <col min="6" max="6" width="12.140625" bestFit="1" customWidth="1"/>
    <col min="7" max="7" width="10" bestFit="1" customWidth="1"/>
    <col min="8" max="8" width="10" customWidth="1"/>
    <col min="12" max="12" width="32.85546875" bestFit="1" customWidth="1"/>
    <col min="13" max="13" width="20.42578125" customWidth="1"/>
    <col min="14" max="14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s="1"/>
    </row>
    <row r="2" spans="1:14">
      <c r="A2">
        <v>1</v>
      </c>
      <c r="B2">
        <v>738711</v>
      </c>
      <c r="C2" t="s">
        <v>10</v>
      </c>
      <c r="D2" s="2">
        <v>549</v>
      </c>
      <c r="E2" s="1">
        <v>43709</v>
      </c>
      <c r="F2">
        <v>1</v>
      </c>
      <c r="G2">
        <v>9</v>
      </c>
      <c r="H2">
        <v>2019</v>
      </c>
      <c r="I2">
        <v>2745</v>
      </c>
      <c r="J2">
        <v>1098</v>
      </c>
      <c r="N2" s="1"/>
    </row>
    <row r="3" spans="1:14">
      <c r="A3">
        <v>5</v>
      </c>
      <c r="B3">
        <v>505339</v>
      </c>
      <c r="C3" t="s">
        <v>10</v>
      </c>
      <c r="D3" s="2">
        <v>788</v>
      </c>
      <c r="E3" s="1">
        <v>43709</v>
      </c>
      <c r="F3">
        <v>1</v>
      </c>
      <c r="G3">
        <v>9</v>
      </c>
      <c r="H3">
        <v>2019</v>
      </c>
      <c r="I3">
        <v>3940</v>
      </c>
      <c r="J3">
        <v>1576</v>
      </c>
      <c r="N3" s="1"/>
    </row>
    <row r="4" spans="1:14">
      <c r="A4">
        <v>1</v>
      </c>
      <c r="B4">
        <v>141665</v>
      </c>
      <c r="C4" t="s">
        <v>10</v>
      </c>
      <c r="D4" s="2">
        <v>1760</v>
      </c>
      <c r="E4" s="1">
        <v>43709</v>
      </c>
      <c r="F4">
        <v>1</v>
      </c>
      <c r="G4">
        <v>9</v>
      </c>
      <c r="H4">
        <v>2019</v>
      </c>
      <c r="I4">
        <v>8800</v>
      </c>
      <c r="J4">
        <v>3520</v>
      </c>
      <c r="N4" s="1"/>
    </row>
    <row r="5" spans="1:14">
      <c r="A5">
        <v>2</v>
      </c>
      <c r="B5">
        <v>678731</v>
      </c>
      <c r="C5" t="s">
        <v>10</v>
      </c>
      <c r="D5" s="2">
        <v>2349</v>
      </c>
      <c r="E5" s="1">
        <v>43709</v>
      </c>
      <c r="F5">
        <v>1</v>
      </c>
      <c r="G5">
        <v>9</v>
      </c>
      <c r="H5">
        <v>2019</v>
      </c>
      <c r="I5">
        <v>11745</v>
      </c>
      <c r="J5">
        <v>4698</v>
      </c>
      <c r="N5" s="1"/>
    </row>
    <row r="6" spans="1:14">
      <c r="A6">
        <v>1</v>
      </c>
      <c r="B6">
        <v>142979</v>
      </c>
      <c r="C6" t="s">
        <v>10</v>
      </c>
      <c r="D6" s="2">
        <v>1031</v>
      </c>
      <c r="E6" s="1">
        <v>43709</v>
      </c>
      <c r="F6">
        <v>1</v>
      </c>
      <c r="G6">
        <v>9</v>
      </c>
      <c r="H6">
        <v>2019</v>
      </c>
      <c r="I6">
        <v>5155</v>
      </c>
      <c r="J6">
        <v>2062</v>
      </c>
      <c r="N6" s="1"/>
    </row>
    <row r="7" spans="1:14">
      <c r="A7">
        <v>5</v>
      </c>
      <c r="B7">
        <v>854455</v>
      </c>
      <c r="C7" t="s">
        <v>10</v>
      </c>
      <c r="D7" s="2">
        <v>2931</v>
      </c>
      <c r="E7" s="1">
        <v>43709</v>
      </c>
      <c r="F7">
        <v>1</v>
      </c>
      <c r="G7">
        <v>9</v>
      </c>
      <c r="H7">
        <v>2019</v>
      </c>
      <c r="I7">
        <v>14655</v>
      </c>
      <c r="J7">
        <v>5862</v>
      </c>
      <c r="N7" s="1"/>
    </row>
    <row r="8" spans="1:14">
      <c r="A8">
        <v>2</v>
      </c>
      <c r="B8">
        <v>898591</v>
      </c>
      <c r="C8" t="s">
        <v>10</v>
      </c>
      <c r="D8" s="2">
        <v>1123</v>
      </c>
      <c r="E8" s="1">
        <v>43709</v>
      </c>
      <c r="F8">
        <v>1</v>
      </c>
      <c r="G8">
        <v>9</v>
      </c>
      <c r="H8">
        <v>2019</v>
      </c>
      <c r="I8">
        <v>5615</v>
      </c>
      <c r="J8">
        <v>2246</v>
      </c>
      <c r="N8" s="1"/>
    </row>
    <row r="9" spans="1:14">
      <c r="A9">
        <v>3</v>
      </c>
      <c r="B9">
        <v>231476</v>
      </c>
      <c r="C9" t="s">
        <v>10</v>
      </c>
      <c r="D9" s="2">
        <v>2409</v>
      </c>
      <c r="E9" s="1">
        <v>43709</v>
      </c>
      <c r="F9">
        <v>1</v>
      </c>
      <c r="G9">
        <v>9</v>
      </c>
      <c r="H9">
        <v>2019</v>
      </c>
      <c r="I9">
        <v>12045</v>
      </c>
      <c r="J9">
        <v>4818</v>
      </c>
      <c r="N9" s="1"/>
    </row>
    <row r="10" spans="1:14">
      <c r="A10">
        <v>3</v>
      </c>
      <c r="B10">
        <v>607709</v>
      </c>
      <c r="C10" t="s">
        <v>10</v>
      </c>
      <c r="D10" s="2">
        <v>380</v>
      </c>
      <c r="E10" s="1">
        <v>43709</v>
      </c>
      <c r="F10">
        <v>1</v>
      </c>
      <c r="G10">
        <v>9</v>
      </c>
      <c r="H10">
        <v>2019</v>
      </c>
      <c r="I10">
        <v>1900</v>
      </c>
      <c r="J10">
        <v>760</v>
      </c>
      <c r="N10" s="1"/>
    </row>
    <row r="11" spans="1:14">
      <c r="A11">
        <v>3</v>
      </c>
      <c r="B11">
        <v>864409</v>
      </c>
      <c r="C11" t="s">
        <v>10</v>
      </c>
      <c r="D11" s="2">
        <v>2470</v>
      </c>
      <c r="E11" s="1">
        <v>43709</v>
      </c>
      <c r="F11">
        <v>1</v>
      </c>
      <c r="G11">
        <v>9</v>
      </c>
      <c r="H11">
        <v>2019</v>
      </c>
      <c r="I11">
        <v>12350</v>
      </c>
      <c r="J11">
        <v>4940</v>
      </c>
      <c r="N11" s="1"/>
    </row>
    <row r="12" spans="1:14">
      <c r="A12">
        <v>3</v>
      </c>
      <c r="B12">
        <v>539666</v>
      </c>
      <c r="C12" t="s">
        <v>11</v>
      </c>
      <c r="D12" s="2">
        <v>2498</v>
      </c>
      <c r="E12" s="1">
        <v>43709</v>
      </c>
      <c r="F12">
        <v>1</v>
      </c>
      <c r="G12">
        <v>9</v>
      </c>
      <c r="H12">
        <v>2019</v>
      </c>
      <c r="I12">
        <v>2498</v>
      </c>
      <c r="J12">
        <v>1249</v>
      </c>
      <c r="N12" s="1"/>
    </row>
    <row r="13" spans="1:14">
      <c r="A13">
        <v>5</v>
      </c>
      <c r="B13">
        <v>806978</v>
      </c>
      <c r="C13" t="s">
        <v>11</v>
      </c>
      <c r="D13" s="2">
        <v>1797</v>
      </c>
      <c r="E13" s="1">
        <v>43709</v>
      </c>
      <c r="F13">
        <v>1</v>
      </c>
      <c r="G13">
        <v>9</v>
      </c>
      <c r="H13">
        <v>2019</v>
      </c>
      <c r="I13">
        <v>1797</v>
      </c>
      <c r="J13">
        <v>898.5</v>
      </c>
      <c r="N13" s="1"/>
    </row>
    <row r="14" spans="1:14">
      <c r="A14">
        <v>4</v>
      </c>
      <c r="B14">
        <v>594945</v>
      </c>
      <c r="C14" t="s">
        <v>11</v>
      </c>
      <c r="D14" s="2">
        <v>720</v>
      </c>
      <c r="E14" s="1">
        <v>43709</v>
      </c>
      <c r="F14">
        <v>1</v>
      </c>
      <c r="G14">
        <v>9</v>
      </c>
      <c r="H14">
        <v>2019</v>
      </c>
      <c r="I14">
        <v>720</v>
      </c>
      <c r="J14">
        <v>360</v>
      </c>
      <c r="N14" s="1"/>
    </row>
    <row r="15" spans="1:14">
      <c r="A15">
        <v>3</v>
      </c>
      <c r="B15">
        <v>781308</v>
      </c>
      <c r="C15" t="s">
        <v>11</v>
      </c>
      <c r="D15" s="2">
        <v>1283</v>
      </c>
      <c r="E15" s="1">
        <v>43709</v>
      </c>
      <c r="F15">
        <v>1</v>
      </c>
      <c r="G15">
        <v>9</v>
      </c>
      <c r="H15">
        <v>2019</v>
      </c>
      <c r="I15">
        <v>1283</v>
      </c>
      <c r="J15">
        <v>641.5</v>
      </c>
      <c r="N15" s="1"/>
    </row>
    <row r="16" spans="1:14">
      <c r="A16">
        <v>2</v>
      </c>
      <c r="B16">
        <v>503591</v>
      </c>
      <c r="C16" t="s">
        <v>11</v>
      </c>
      <c r="D16" s="2">
        <v>322</v>
      </c>
      <c r="E16" s="1">
        <v>43709</v>
      </c>
      <c r="F16">
        <v>1</v>
      </c>
      <c r="G16">
        <v>9</v>
      </c>
      <c r="H16">
        <v>2019</v>
      </c>
      <c r="I16">
        <v>322</v>
      </c>
      <c r="J16">
        <v>161</v>
      </c>
      <c r="N16" s="1"/>
    </row>
    <row r="17" spans="1:14">
      <c r="A17">
        <v>4</v>
      </c>
      <c r="B17">
        <v>304546</v>
      </c>
      <c r="C17" t="s">
        <v>12</v>
      </c>
      <c r="D17" s="2">
        <v>1989</v>
      </c>
      <c r="E17" s="1">
        <v>43709</v>
      </c>
      <c r="F17">
        <v>1</v>
      </c>
      <c r="G17">
        <v>9</v>
      </c>
      <c r="H17">
        <v>2019</v>
      </c>
      <c r="I17">
        <v>9945</v>
      </c>
      <c r="J17">
        <v>4375.8</v>
      </c>
      <c r="N17" s="1"/>
    </row>
    <row r="18" spans="1:14">
      <c r="A18">
        <v>3</v>
      </c>
      <c r="B18">
        <v>766207</v>
      </c>
      <c r="C18" t="s">
        <v>12</v>
      </c>
      <c r="D18" s="2">
        <v>994</v>
      </c>
      <c r="E18" s="1">
        <v>43709</v>
      </c>
      <c r="F18">
        <v>1</v>
      </c>
      <c r="G18">
        <v>9</v>
      </c>
      <c r="H18">
        <v>2019</v>
      </c>
      <c r="I18">
        <v>4970</v>
      </c>
      <c r="J18">
        <v>2186.8000000000002</v>
      </c>
      <c r="N18" s="1"/>
    </row>
    <row r="19" spans="1:14">
      <c r="A19">
        <v>2</v>
      </c>
      <c r="B19">
        <v>550622</v>
      </c>
      <c r="C19" t="s">
        <v>12</v>
      </c>
      <c r="D19" s="2">
        <v>947</v>
      </c>
      <c r="E19" s="1">
        <v>43709</v>
      </c>
      <c r="F19">
        <v>1</v>
      </c>
      <c r="G19">
        <v>9</v>
      </c>
      <c r="H19">
        <v>2019</v>
      </c>
      <c r="I19">
        <v>4735</v>
      </c>
      <c r="J19">
        <v>2083.4</v>
      </c>
      <c r="N19" s="1"/>
    </row>
    <row r="20" spans="1:14">
      <c r="A20">
        <v>4</v>
      </c>
      <c r="B20">
        <v>410583</v>
      </c>
      <c r="C20" t="s">
        <v>12</v>
      </c>
      <c r="D20" s="2">
        <v>2761</v>
      </c>
      <c r="E20" s="1">
        <v>43709</v>
      </c>
      <c r="F20">
        <v>1</v>
      </c>
      <c r="G20">
        <v>9</v>
      </c>
      <c r="H20">
        <v>2019</v>
      </c>
      <c r="I20">
        <v>13805</v>
      </c>
      <c r="J20">
        <v>6074.2000000000007</v>
      </c>
      <c r="N20" s="1"/>
    </row>
    <row r="21" spans="1:14">
      <c r="A21">
        <v>3</v>
      </c>
      <c r="B21">
        <v>616987</v>
      </c>
      <c r="C21" t="s">
        <v>13</v>
      </c>
      <c r="D21" s="2">
        <v>330</v>
      </c>
      <c r="E21" s="1">
        <v>43709</v>
      </c>
      <c r="F21">
        <v>1</v>
      </c>
      <c r="G21">
        <v>9</v>
      </c>
      <c r="H21">
        <v>2019</v>
      </c>
      <c r="I21">
        <v>1320</v>
      </c>
      <c r="J21">
        <v>495</v>
      </c>
      <c r="N21" s="1"/>
    </row>
    <row r="22" spans="1:14">
      <c r="A22">
        <v>4</v>
      </c>
      <c r="B22">
        <v>119027</v>
      </c>
      <c r="C22" t="s">
        <v>13</v>
      </c>
      <c r="D22" s="2">
        <v>1834</v>
      </c>
      <c r="E22" s="1">
        <v>43709</v>
      </c>
      <c r="F22">
        <v>1</v>
      </c>
      <c r="G22">
        <v>9</v>
      </c>
      <c r="H22">
        <v>2019</v>
      </c>
      <c r="I22">
        <v>7336</v>
      </c>
      <c r="J22">
        <v>2751</v>
      </c>
      <c r="N22" s="1"/>
    </row>
    <row r="23" spans="1:14">
      <c r="A23">
        <v>3</v>
      </c>
      <c r="B23">
        <v>105566</v>
      </c>
      <c r="C23" t="s">
        <v>13</v>
      </c>
      <c r="D23" s="2">
        <v>2416</v>
      </c>
      <c r="E23" s="1">
        <v>43709</v>
      </c>
      <c r="F23">
        <v>1</v>
      </c>
      <c r="G23">
        <v>9</v>
      </c>
      <c r="H23">
        <v>2019</v>
      </c>
      <c r="I23">
        <v>9664</v>
      </c>
      <c r="J23">
        <v>3624</v>
      </c>
      <c r="N23" s="1"/>
    </row>
    <row r="24" spans="1:14">
      <c r="A24">
        <v>3</v>
      </c>
      <c r="B24">
        <v>676544</v>
      </c>
      <c r="C24" t="s">
        <v>13</v>
      </c>
      <c r="D24" s="2">
        <v>442</v>
      </c>
      <c r="E24" s="1">
        <v>43709</v>
      </c>
      <c r="F24">
        <v>1</v>
      </c>
      <c r="G24">
        <v>9</v>
      </c>
      <c r="H24">
        <v>2019</v>
      </c>
      <c r="I24">
        <v>1768</v>
      </c>
      <c r="J24">
        <v>663</v>
      </c>
      <c r="N24" s="1"/>
    </row>
    <row r="25" spans="1:14">
      <c r="A25">
        <v>1</v>
      </c>
      <c r="B25">
        <v>285799</v>
      </c>
      <c r="C25" t="s">
        <v>13</v>
      </c>
      <c r="D25" s="2">
        <v>1023</v>
      </c>
      <c r="E25" s="1">
        <v>43709</v>
      </c>
      <c r="F25">
        <v>1</v>
      </c>
      <c r="G25">
        <v>9</v>
      </c>
      <c r="H25">
        <v>2019</v>
      </c>
      <c r="I25">
        <v>4092</v>
      </c>
      <c r="J25">
        <v>1534.5</v>
      </c>
      <c r="N25" s="1"/>
    </row>
    <row r="26" spans="1:14">
      <c r="A26">
        <v>1</v>
      </c>
      <c r="B26">
        <v>587301</v>
      </c>
      <c r="C26" t="s">
        <v>14</v>
      </c>
      <c r="D26" s="2">
        <v>1527</v>
      </c>
      <c r="E26" s="1">
        <v>43709</v>
      </c>
      <c r="F26">
        <v>1</v>
      </c>
      <c r="G26">
        <v>9</v>
      </c>
      <c r="H26">
        <v>2019</v>
      </c>
      <c r="I26">
        <v>4581</v>
      </c>
      <c r="J26">
        <v>1908.75</v>
      </c>
      <c r="N26" s="1"/>
    </row>
    <row r="27" spans="1:14">
      <c r="A27">
        <v>1</v>
      </c>
      <c r="B27">
        <v>581507</v>
      </c>
      <c r="C27" t="s">
        <v>14</v>
      </c>
      <c r="D27" s="2">
        <v>349</v>
      </c>
      <c r="E27" s="1">
        <v>43709</v>
      </c>
      <c r="F27">
        <v>1</v>
      </c>
      <c r="G27">
        <v>9</v>
      </c>
      <c r="H27">
        <v>2019</v>
      </c>
      <c r="I27">
        <v>1047</v>
      </c>
      <c r="J27">
        <v>436.25</v>
      </c>
      <c r="N27" s="1"/>
    </row>
    <row r="28" spans="1:14">
      <c r="A28">
        <v>5</v>
      </c>
      <c r="B28">
        <v>899556</v>
      </c>
      <c r="C28" t="s">
        <v>14</v>
      </c>
      <c r="D28" s="2">
        <v>2215</v>
      </c>
      <c r="E28" s="1">
        <v>43709</v>
      </c>
      <c r="F28">
        <v>1</v>
      </c>
      <c r="G28">
        <v>9</v>
      </c>
      <c r="H28">
        <v>2019</v>
      </c>
      <c r="I28">
        <v>6645</v>
      </c>
      <c r="J28">
        <v>2768.75</v>
      </c>
      <c r="N28" s="1"/>
    </row>
    <row r="29" spans="1:14">
      <c r="A29">
        <v>1</v>
      </c>
      <c r="B29">
        <v>594463</v>
      </c>
      <c r="C29" t="s">
        <v>14</v>
      </c>
      <c r="D29" s="2">
        <v>2234</v>
      </c>
      <c r="E29" s="1">
        <v>43709</v>
      </c>
      <c r="F29">
        <v>1</v>
      </c>
      <c r="G29">
        <v>9</v>
      </c>
      <c r="H29">
        <v>2019</v>
      </c>
      <c r="I29">
        <v>6702</v>
      </c>
      <c r="J29">
        <v>2792.5</v>
      </c>
      <c r="N29" s="1"/>
    </row>
    <row r="30" spans="1:14">
      <c r="A30">
        <v>5</v>
      </c>
      <c r="B30">
        <v>808356</v>
      </c>
      <c r="C30" t="s">
        <v>14</v>
      </c>
      <c r="D30" s="2">
        <v>1005</v>
      </c>
      <c r="E30" s="1">
        <v>43709</v>
      </c>
      <c r="F30">
        <v>1</v>
      </c>
      <c r="G30">
        <v>9</v>
      </c>
      <c r="H30">
        <v>2019</v>
      </c>
      <c r="I30">
        <v>3015</v>
      </c>
      <c r="J30">
        <v>1256.25</v>
      </c>
      <c r="N30" s="1"/>
    </row>
    <row r="31" spans="1:14">
      <c r="A31">
        <v>4</v>
      </c>
      <c r="B31">
        <v>362208</v>
      </c>
      <c r="C31" t="s">
        <v>14</v>
      </c>
      <c r="D31" s="2">
        <v>623</v>
      </c>
      <c r="E31" s="1">
        <v>43709</v>
      </c>
      <c r="F31">
        <v>1</v>
      </c>
      <c r="G31">
        <v>9</v>
      </c>
      <c r="H31">
        <v>2019</v>
      </c>
      <c r="I31">
        <v>1869</v>
      </c>
      <c r="J31">
        <v>778.75</v>
      </c>
      <c r="N31" s="1"/>
    </row>
    <row r="32" spans="1:14">
      <c r="A32">
        <v>4</v>
      </c>
      <c r="B32">
        <v>455927</v>
      </c>
      <c r="C32" t="s">
        <v>15</v>
      </c>
      <c r="D32" s="2">
        <v>736</v>
      </c>
      <c r="E32" s="1">
        <v>43709</v>
      </c>
      <c r="F32">
        <v>1</v>
      </c>
      <c r="G32">
        <v>9</v>
      </c>
      <c r="H32">
        <v>2019</v>
      </c>
      <c r="I32">
        <v>4416</v>
      </c>
      <c r="J32">
        <v>2024</v>
      </c>
      <c r="N32" s="1"/>
    </row>
    <row r="33" spans="1:14">
      <c r="A33">
        <v>4</v>
      </c>
      <c r="B33">
        <v>558048</v>
      </c>
      <c r="C33" t="s">
        <v>15</v>
      </c>
      <c r="D33" s="2">
        <v>2646</v>
      </c>
      <c r="E33" s="1">
        <v>43709</v>
      </c>
      <c r="F33">
        <v>1</v>
      </c>
      <c r="G33">
        <v>9</v>
      </c>
      <c r="H33">
        <v>2019</v>
      </c>
      <c r="I33">
        <v>15876</v>
      </c>
      <c r="J33">
        <v>7276.5</v>
      </c>
      <c r="N33" s="1"/>
    </row>
    <row r="34" spans="1:14">
      <c r="A34">
        <v>1</v>
      </c>
      <c r="B34">
        <v>494115</v>
      </c>
      <c r="C34" t="s">
        <v>15</v>
      </c>
      <c r="D34" s="2">
        <v>2805</v>
      </c>
      <c r="E34" s="1">
        <v>43709</v>
      </c>
      <c r="F34">
        <v>1</v>
      </c>
      <c r="G34">
        <v>9</v>
      </c>
      <c r="H34">
        <v>2019</v>
      </c>
      <c r="I34">
        <v>16830</v>
      </c>
      <c r="J34">
        <v>7713.75</v>
      </c>
      <c r="N34" s="1"/>
    </row>
    <row r="35" spans="1:14">
      <c r="A35">
        <v>4</v>
      </c>
      <c r="B35">
        <v>573970</v>
      </c>
      <c r="C35" t="s">
        <v>15</v>
      </c>
      <c r="D35" s="2">
        <v>655</v>
      </c>
      <c r="E35" s="1">
        <v>43709</v>
      </c>
      <c r="F35">
        <v>1</v>
      </c>
      <c r="G35">
        <v>9</v>
      </c>
      <c r="H35">
        <v>2019</v>
      </c>
      <c r="I35">
        <v>3930</v>
      </c>
      <c r="J35">
        <v>1801.25</v>
      </c>
      <c r="N35" s="1"/>
    </row>
    <row r="36" spans="1:14">
      <c r="A36">
        <v>3</v>
      </c>
      <c r="B36">
        <v>899629</v>
      </c>
      <c r="C36" t="s">
        <v>15</v>
      </c>
      <c r="D36" s="2">
        <v>660</v>
      </c>
      <c r="E36" s="1">
        <v>43709</v>
      </c>
      <c r="F36">
        <v>1</v>
      </c>
      <c r="G36">
        <v>9</v>
      </c>
      <c r="H36">
        <v>2019</v>
      </c>
      <c r="I36">
        <v>3960</v>
      </c>
      <c r="J36">
        <v>1815</v>
      </c>
      <c r="N36" s="1"/>
    </row>
    <row r="37" spans="1:14">
      <c r="A37">
        <v>5</v>
      </c>
      <c r="B37">
        <v>238791</v>
      </c>
      <c r="C37" t="s">
        <v>10</v>
      </c>
      <c r="D37" s="2">
        <v>766</v>
      </c>
      <c r="E37" s="1">
        <v>43739</v>
      </c>
      <c r="F37">
        <v>1</v>
      </c>
      <c r="G37">
        <v>10</v>
      </c>
      <c r="H37">
        <v>2019</v>
      </c>
      <c r="I37">
        <v>3830</v>
      </c>
      <c r="J37">
        <v>1532</v>
      </c>
      <c r="N37" s="1"/>
    </row>
    <row r="38" spans="1:14">
      <c r="A38">
        <v>4</v>
      </c>
      <c r="B38">
        <v>875012</v>
      </c>
      <c r="C38" t="s">
        <v>10</v>
      </c>
      <c r="D38" s="2">
        <v>809</v>
      </c>
      <c r="E38" s="1">
        <v>43739</v>
      </c>
      <c r="F38">
        <v>1</v>
      </c>
      <c r="G38">
        <v>10</v>
      </c>
      <c r="H38">
        <v>2019</v>
      </c>
      <c r="I38">
        <v>4045</v>
      </c>
      <c r="J38">
        <v>1618</v>
      </c>
      <c r="N38" s="1"/>
    </row>
    <row r="39" spans="1:14">
      <c r="A39">
        <v>3</v>
      </c>
      <c r="B39">
        <v>505159</v>
      </c>
      <c r="C39" t="s">
        <v>10</v>
      </c>
      <c r="D39" s="2">
        <v>2145</v>
      </c>
      <c r="E39" s="1">
        <v>43739</v>
      </c>
      <c r="F39">
        <v>1</v>
      </c>
      <c r="G39">
        <v>10</v>
      </c>
      <c r="H39">
        <v>2019</v>
      </c>
      <c r="I39">
        <v>10725</v>
      </c>
      <c r="J39">
        <v>4290</v>
      </c>
      <c r="N39" s="1"/>
    </row>
    <row r="40" spans="1:14">
      <c r="A40">
        <v>1</v>
      </c>
      <c r="B40">
        <v>675075</v>
      </c>
      <c r="C40" t="s">
        <v>10</v>
      </c>
      <c r="D40" s="2">
        <v>1945</v>
      </c>
      <c r="E40" s="1">
        <v>43739</v>
      </c>
      <c r="F40">
        <v>1</v>
      </c>
      <c r="G40">
        <v>10</v>
      </c>
      <c r="H40">
        <v>2019</v>
      </c>
      <c r="I40">
        <v>9725</v>
      </c>
      <c r="J40">
        <v>3890</v>
      </c>
      <c r="N40" s="1"/>
    </row>
    <row r="41" spans="1:14">
      <c r="A41">
        <v>1</v>
      </c>
      <c r="B41">
        <v>707858</v>
      </c>
      <c r="C41" t="s">
        <v>10</v>
      </c>
      <c r="D41" s="2">
        <v>671</v>
      </c>
      <c r="E41" s="1">
        <v>43739</v>
      </c>
      <c r="F41">
        <v>1</v>
      </c>
      <c r="G41">
        <v>10</v>
      </c>
      <c r="H41">
        <v>2019</v>
      </c>
      <c r="I41">
        <v>3355</v>
      </c>
      <c r="J41">
        <v>1342</v>
      </c>
      <c r="N41" s="1"/>
    </row>
    <row r="42" spans="1:14">
      <c r="A42">
        <v>3</v>
      </c>
      <c r="B42">
        <v>538134</v>
      </c>
      <c r="C42" t="s">
        <v>10</v>
      </c>
      <c r="D42" s="2">
        <v>1514</v>
      </c>
      <c r="E42" s="1">
        <v>43739</v>
      </c>
      <c r="F42">
        <v>1</v>
      </c>
      <c r="G42">
        <v>10</v>
      </c>
      <c r="H42">
        <v>2019</v>
      </c>
      <c r="I42">
        <v>7570</v>
      </c>
      <c r="J42">
        <v>3028</v>
      </c>
      <c r="N42" s="1"/>
    </row>
    <row r="43" spans="1:14">
      <c r="A43">
        <v>3</v>
      </c>
      <c r="B43">
        <v>697895</v>
      </c>
      <c r="C43" t="s">
        <v>10</v>
      </c>
      <c r="D43" s="2">
        <v>1228</v>
      </c>
      <c r="E43" s="1">
        <v>43739</v>
      </c>
      <c r="F43">
        <v>1</v>
      </c>
      <c r="G43">
        <v>10</v>
      </c>
      <c r="H43">
        <v>2019</v>
      </c>
      <c r="I43">
        <v>6140</v>
      </c>
      <c r="J43">
        <v>2456</v>
      </c>
      <c r="N43" s="1"/>
    </row>
    <row r="44" spans="1:14">
      <c r="A44">
        <v>3</v>
      </c>
      <c r="B44">
        <v>691331</v>
      </c>
      <c r="C44" t="s">
        <v>10</v>
      </c>
      <c r="D44" s="2">
        <v>1389</v>
      </c>
      <c r="E44" s="1">
        <v>43739</v>
      </c>
      <c r="F44">
        <v>1</v>
      </c>
      <c r="G44">
        <v>10</v>
      </c>
      <c r="H44">
        <v>2019</v>
      </c>
      <c r="I44">
        <v>6945</v>
      </c>
      <c r="J44">
        <v>2778</v>
      </c>
      <c r="N44" s="1"/>
    </row>
    <row r="45" spans="1:14">
      <c r="A45">
        <v>1</v>
      </c>
      <c r="B45">
        <v>567484</v>
      </c>
      <c r="C45" t="s">
        <v>10</v>
      </c>
      <c r="D45" s="2">
        <v>704</v>
      </c>
      <c r="E45" s="1">
        <v>43739</v>
      </c>
      <c r="F45">
        <v>1</v>
      </c>
      <c r="G45">
        <v>10</v>
      </c>
      <c r="H45">
        <v>2019</v>
      </c>
      <c r="I45">
        <v>3520</v>
      </c>
      <c r="J45">
        <v>1408</v>
      </c>
      <c r="N45" s="1"/>
    </row>
    <row r="46" spans="1:14">
      <c r="A46">
        <v>3</v>
      </c>
      <c r="B46">
        <v>176592</v>
      </c>
      <c r="C46" t="s">
        <v>10</v>
      </c>
      <c r="D46" s="2">
        <v>2299</v>
      </c>
      <c r="E46" s="1">
        <v>43739</v>
      </c>
      <c r="F46">
        <v>1</v>
      </c>
      <c r="G46">
        <v>10</v>
      </c>
      <c r="H46">
        <v>2019</v>
      </c>
      <c r="I46">
        <v>11495</v>
      </c>
      <c r="J46">
        <v>4598</v>
      </c>
      <c r="N46" s="1"/>
    </row>
    <row r="47" spans="1:14">
      <c r="A47">
        <v>5</v>
      </c>
      <c r="B47">
        <v>758323</v>
      </c>
      <c r="C47" t="s">
        <v>10</v>
      </c>
      <c r="D47" s="2">
        <v>727</v>
      </c>
      <c r="E47" s="1">
        <v>43739</v>
      </c>
      <c r="F47">
        <v>1</v>
      </c>
      <c r="G47">
        <v>10</v>
      </c>
      <c r="H47">
        <v>2019</v>
      </c>
      <c r="I47">
        <v>3635</v>
      </c>
      <c r="J47">
        <v>1454</v>
      </c>
      <c r="N47" s="1"/>
    </row>
    <row r="48" spans="1:14">
      <c r="A48">
        <v>4</v>
      </c>
      <c r="B48">
        <v>676135</v>
      </c>
      <c r="C48" t="s">
        <v>10</v>
      </c>
      <c r="D48" s="2">
        <v>1757</v>
      </c>
      <c r="E48" s="1">
        <v>43739</v>
      </c>
      <c r="F48">
        <v>1</v>
      </c>
      <c r="G48">
        <v>10</v>
      </c>
      <c r="H48">
        <v>2019</v>
      </c>
      <c r="I48">
        <v>8785</v>
      </c>
      <c r="J48">
        <v>3514</v>
      </c>
      <c r="N48" s="1"/>
    </row>
    <row r="49" spans="1:14">
      <c r="A49">
        <v>2</v>
      </c>
      <c r="B49">
        <v>266313</v>
      </c>
      <c r="C49" t="s">
        <v>10</v>
      </c>
      <c r="D49" s="2">
        <v>367</v>
      </c>
      <c r="E49" s="1">
        <v>43739</v>
      </c>
      <c r="F49">
        <v>1</v>
      </c>
      <c r="G49">
        <v>10</v>
      </c>
      <c r="H49">
        <v>2019</v>
      </c>
      <c r="I49">
        <v>1835</v>
      </c>
      <c r="J49">
        <v>734</v>
      </c>
      <c r="N49" s="1"/>
    </row>
    <row r="50" spans="1:14">
      <c r="A50">
        <v>3</v>
      </c>
      <c r="B50">
        <v>686651</v>
      </c>
      <c r="C50" t="s">
        <v>10</v>
      </c>
      <c r="D50" s="2">
        <v>386</v>
      </c>
      <c r="E50" s="1">
        <v>43739</v>
      </c>
      <c r="F50">
        <v>1</v>
      </c>
      <c r="G50">
        <v>10</v>
      </c>
      <c r="H50">
        <v>2019</v>
      </c>
      <c r="I50">
        <v>1930</v>
      </c>
      <c r="J50">
        <v>772</v>
      </c>
      <c r="N50" s="1"/>
    </row>
    <row r="51" spans="1:14">
      <c r="A51">
        <v>3</v>
      </c>
      <c r="B51">
        <v>712767</v>
      </c>
      <c r="C51" t="s">
        <v>10</v>
      </c>
      <c r="D51" s="2">
        <v>2167</v>
      </c>
      <c r="E51" s="1">
        <v>43739</v>
      </c>
      <c r="F51">
        <v>1</v>
      </c>
      <c r="G51">
        <v>10</v>
      </c>
      <c r="H51">
        <v>2019</v>
      </c>
      <c r="I51">
        <v>10835</v>
      </c>
      <c r="J51">
        <v>4334</v>
      </c>
      <c r="N51" s="1"/>
    </row>
    <row r="52" spans="1:14">
      <c r="A52">
        <v>3</v>
      </c>
      <c r="B52">
        <v>294935</v>
      </c>
      <c r="C52" t="s">
        <v>10</v>
      </c>
      <c r="D52" s="2">
        <v>1198</v>
      </c>
      <c r="E52" s="1">
        <v>43739</v>
      </c>
      <c r="F52">
        <v>1</v>
      </c>
      <c r="G52">
        <v>10</v>
      </c>
      <c r="H52">
        <v>2019</v>
      </c>
      <c r="I52">
        <v>5990</v>
      </c>
      <c r="J52">
        <v>2396</v>
      </c>
      <c r="N52" s="1"/>
    </row>
    <row r="53" spans="1:14">
      <c r="A53">
        <v>2</v>
      </c>
      <c r="B53">
        <v>440377</v>
      </c>
      <c r="C53" t="s">
        <v>10</v>
      </c>
      <c r="D53" s="2">
        <v>2992</v>
      </c>
      <c r="E53" s="1">
        <v>43739</v>
      </c>
      <c r="F53">
        <v>1</v>
      </c>
      <c r="G53">
        <v>10</v>
      </c>
      <c r="H53">
        <v>2019</v>
      </c>
      <c r="I53">
        <v>14960</v>
      </c>
      <c r="J53">
        <v>5984</v>
      </c>
      <c r="N53" s="1"/>
    </row>
    <row r="54" spans="1:14">
      <c r="A54">
        <v>2</v>
      </c>
      <c r="B54">
        <v>885201</v>
      </c>
      <c r="C54" t="s">
        <v>10</v>
      </c>
      <c r="D54" s="2">
        <v>1715</v>
      </c>
      <c r="E54" s="1">
        <v>43739</v>
      </c>
      <c r="F54">
        <v>1</v>
      </c>
      <c r="G54">
        <v>10</v>
      </c>
      <c r="H54">
        <v>2019</v>
      </c>
      <c r="I54">
        <v>8575</v>
      </c>
      <c r="J54">
        <v>3430</v>
      </c>
      <c r="N54" s="1"/>
    </row>
    <row r="55" spans="1:14">
      <c r="A55">
        <v>2</v>
      </c>
      <c r="B55">
        <v>520865</v>
      </c>
      <c r="C55" t="s">
        <v>10</v>
      </c>
      <c r="D55" s="2">
        <v>1743</v>
      </c>
      <c r="E55" s="1">
        <v>43739</v>
      </c>
      <c r="F55">
        <v>1</v>
      </c>
      <c r="G55">
        <v>10</v>
      </c>
      <c r="H55">
        <v>2019</v>
      </c>
      <c r="I55">
        <v>8715</v>
      </c>
      <c r="J55">
        <v>3486</v>
      </c>
      <c r="N55" s="1"/>
    </row>
    <row r="56" spans="1:14">
      <c r="A56">
        <v>3</v>
      </c>
      <c r="B56">
        <v>609851</v>
      </c>
      <c r="C56" t="s">
        <v>10</v>
      </c>
      <c r="D56" s="2">
        <v>267</v>
      </c>
      <c r="E56" s="1">
        <v>43739</v>
      </c>
      <c r="F56">
        <v>1</v>
      </c>
      <c r="G56">
        <v>10</v>
      </c>
      <c r="H56">
        <v>2019</v>
      </c>
      <c r="I56">
        <v>1335</v>
      </c>
      <c r="J56">
        <v>534</v>
      </c>
      <c r="N56" s="1"/>
    </row>
    <row r="57" spans="1:14">
      <c r="A57">
        <v>5</v>
      </c>
      <c r="B57">
        <v>439030</v>
      </c>
      <c r="C57" t="s">
        <v>11</v>
      </c>
      <c r="D57" s="2">
        <v>345</v>
      </c>
      <c r="E57" s="1">
        <v>43739</v>
      </c>
      <c r="F57">
        <v>1</v>
      </c>
      <c r="G57">
        <v>10</v>
      </c>
      <c r="H57">
        <v>2019</v>
      </c>
      <c r="I57">
        <v>345</v>
      </c>
      <c r="J57">
        <v>172.5</v>
      </c>
      <c r="N57" s="1"/>
    </row>
    <row r="58" spans="1:14">
      <c r="A58">
        <v>5</v>
      </c>
      <c r="B58">
        <v>625570</v>
      </c>
      <c r="C58" t="s">
        <v>11</v>
      </c>
      <c r="D58" s="2">
        <v>663</v>
      </c>
      <c r="E58" s="1">
        <v>43739</v>
      </c>
      <c r="F58">
        <v>1</v>
      </c>
      <c r="G58">
        <v>10</v>
      </c>
      <c r="H58">
        <v>2019</v>
      </c>
      <c r="I58">
        <v>663</v>
      </c>
      <c r="J58">
        <v>331.5</v>
      </c>
      <c r="N58" s="1"/>
    </row>
    <row r="59" spans="1:14">
      <c r="A59">
        <v>3</v>
      </c>
      <c r="B59">
        <v>873031</v>
      </c>
      <c r="C59" t="s">
        <v>11</v>
      </c>
      <c r="D59" s="2">
        <v>2851</v>
      </c>
      <c r="E59" s="1">
        <v>43739</v>
      </c>
      <c r="F59">
        <v>1</v>
      </c>
      <c r="G59">
        <v>10</v>
      </c>
      <c r="H59">
        <v>2019</v>
      </c>
      <c r="I59">
        <v>2851</v>
      </c>
      <c r="J59">
        <v>1425.5</v>
      </c>
      <c r="N59" s="1"/>
    </row>
    <row r="60" spans="1:14">
      <c r="A60">
        <v>3</v>
      </c>
      <c r="B60">
        <v>150704</v>
      </c>
      <c r="C60" t="s">
        <v>11</v>
      </c>
      <c r="D60" s="2">
        <v>1159</v>
      </c>
      <c r="E60" s="1">
        <v>43739</v>
      </c>
      <c r="F60">
        <v>1</v>
      </c>
      <c r="G60">
        <v>10</v>
      </c>
      <c r="H60">
        <v>2019</v>
      </c>
      <c r="I60">
        <v>1159</v>
      </c>
      <c r="J60">
        <v>579.5</v>
      </c>
      <c r="N60" s="1"/>
    </row>
    <row r="61" spans="1:14">
      <c r="A61">
        <v>4</v>
      </c>
      <c r="B61">
        <v>294390</v>
      </c>
      <c r="C61" t="s">
        <v>11</v>
      </c>
      <c r="D61" s="2">
        <v>1403</v>
      </c>
      <c r="E61" s="1">
        <v>43739</v>
      </c>
      <c r="F61">
        <v>1</v>
      </c>
      <c r="G61">
        <v>10</v>
      </c>
      <c r="H61">
        <v>2019</v>
      </c>
      <c r="I61">
        <v>1403</v>
      </c>
      <c r="J61">
        <v>701.5</v>
      </c>
      <c r="N61" s="1"/>
    </row>
    <row r="62" spans="1:14">
      <c r="A62">
        <v>3</v>
      </c>
      <c r="B62">
        <v>215754</v>
      </c>
      <c r="C62" t="s">
        <v>11</v>
      </c>
      <c r="D62" s="2">
        <v>1757</v>
      </c>
      <c r="E62" s="1">
        <v>43739</v>
      </c>
      <c r="F62">
        <v>1</v>
      </c>
      <c r="G62">
        <v>10</v>
      </c>
      <c r="H62">
        <v>2019</v>
      </c>
      <c r="I62">
        <v>1757</v>
      </c>
      <c r="J62">
        <v>878.5</v>
      </c>
      <c r="N62" s="1"/>
    </row>
    <row r="63" spans="1:14">
      <c r="A63">
        <v>5</v>
      </c>
      <c r="B63">
        <v>644686</v>
      </c>
      <c r="C63" t="s">
        <v>11</v>
      </c>
      <c r="D63" s="2">
        <v>2992</v>
      </c>
      <c r="E63" s="1">
        <v>43739</v>
      </c>
      <c r="F63">
        <v>1</v>
      </c>
      <c r="G63">
        <v>10</v>
      </c>
      <c r="H63">
        <v>2019</v>
      </c>
      <c r="I63">
        <v>2992</v>
      </c>
      <c r="J63">
        <v>1496</v>
      </c>
      <c r="N63" s="1"/>
    </row>
    <row r="64" spans="1:14">
      <c r="A64">
        <v>2</v>
      </c>
      <c r="B64">
        <v>347412</v>
      </c>
      <c r="C64" t="s">
        <v>11</v>
      </c>
      <c r="D64" s="2">
        <v>1715</v>
      </c>
      <c r="E64" s="1">
        <v>43739</v>
      </c>
      <c r="F64">
        <v>1</v>
      </c>
      <c r="G64">
        <v>10</v>
      </c>
      <c r="H64">
        <v>2019</v>
      </c>
      <c r="I64">
        <v>1715</v>
      </c>
      <c r="J64">
        <v>857.5</v>
      </c>
      <c r="N64" s="1"/>
    </row>
    <row r="65" spans="1:14">
      <c r="A65">
        <v>3</v>
      </c>
      <c r="B65">
        <v>295198</v>
      </c>
      <c r="C65" t="s">
        <v>11</v>
      </c>
      <c r="D65" s="2">
        <v>2996</v>
      </c>
      <c r="E65" s="1">
        <v>43739</v>
      </c>
      <c r="F65">
        <v>1</v>
      </c>
      <c r="G65">
        <v>10</v>
      </c>
      <c r="H65">
        <v>2019</v>
      </c>
      <c r="I65">
        <v>2996</v>
      </c>
      <c r="J65">
        <v>1498</v>
      </c>
      <c r="N65" s="1"/>
    </row>
    <row r="66" spans="1:14">
      <c r="A66">
        <v>4</v>
      </c>
      <c r="B66">
        <v>164574</v>
      </c>
      <c r="C66" t="s">
        <v>11</v>
      </c>
      <c r="D66" s="2">
        <v>1727</v>
      </c>
      <c r="E66" s="1">
        <v>43739</v>
      </c>
      <c r="F66">
        <v>1</v>
      </c>
      <c r="G66">
        <v>10</v>
      </c>
      <c r="H66">
        <v>2019</v>
      </c>
      <c r="I66">
        <v>1727</v>
      </c>
      <c r="J66">
        <v>863.5</v>
      </c>
      <c r="N66" s="1"/>
    </row>
    <row r="67" spans="1:14">
      <c r="A67">
        <v>3</v>
      </c>
      <c r="B67">
        <v>253215</v>
      </c>
      <c r="C67" t="s">
        <v>12</v>
      </c>
      <c r="D67" s="2">
        <v>2966</v>
      </c>
      <c r="E67" s="1">
        <v>43739</v>
      </c>
      <c r="F67">
        <v>1</v>
      </c>
      <c r="G67">
        <v>10</v>
      </c>
      <c r="H67">
        <v>2019</v>
      </c>
      <c r="I67">
        <v>14830</v>
      </c>
      <c r="J67">
        <v>6525.2000000000007</v>
      </c>
      <c r="N67" s="1"/>
    </row>
    <row r="68" spans="1:14">
      <c r="A68">
        <v>4</v>
      </c>
      <c r="B68">
        <v>397008</v>
      </c>
      <c r="C68" t="s">
        <v>12</v>
      </c>
      <c r="D68" s="2">
        <v>671</v>
      </c>
      <c r="E68" s="1">
        <v>43739</v>
      </c>
      <c r="F68">
        <v>1</v>
      </c>
      <c r="G68">
        <v>10</v>
      </c>
      <c r="H68">
        <v>2019</v>
      </c>
      <c r="I68">
        <v>3355</v>
      </c>
      <c r="J68">
        <v>1476.2</v>
      </c>
      <c r="N68" s="1"/>
    </row>
    <row r="69" spans="1:14">
      <c r="A69">
        <v>3</v>
      </c>
      <c r="B69">
        <v>151329</v>
      </c>
      <c r="C69" t="s">
        <v>12</v>
      </c>
      <c r="D69" s="2">
        <v>1159</v>
      </c>
      <c r="E69" s="1">
        <v>43739</v>
      </c>
      <c r="F69">
        <v>1</v>
      </c>
      <c r="G69">
        <v>10</v>
      </c>
      <c r="H69">
        <v>2019</v>
      </c>
      <c r="I69">
        <v>5795</v>
      </c>
      <c r="J69">
        <v>2549.8000000000002</v>
      </c>
      <c r="N69" s="1"/>
    </row>
    <row r="70" spans="1:14">
      <c r="A70">
        <v>3</v>
      </c>
      <c r="B70">
        <v>117166</v>
      </c>
      <c r="C70" t="s">
        <v>12</v>
      </c>
      <c r="D70" s="2">
        <v>1228</v>
      </c>
      <c r="E70" s="1">
        <v>43739</v>
      </c>
      <c r="F70">
        <v>1</v>
      </c>
      <c r="G70">
        <v>10</v>
      </c>
      <c r="H70">
        <v>2019</v>
      </c>
      <c r="I70">
        <v>6140</v>
      </c>
      <c r="J70">
        <v>2701.6000000000004</v>
      </c>
      <c r="N70" s="1"/>
    </row>
    <row r="71" spans="1:14">
      <c r="A71">
        <v>3</v>
      </c>
      <c r="B71">
        <v>698573</v>
      </c>
      <c r="C71" t="s">
        <v>12</v>
      </c>
      <c r="D71" s="2">
        <v>727</v>
      </c>
      <c r="E71" s="1">
        <v>43739</v>
      </c>
      <c r="F71">
        <v>1</v>
      </c>
      <c r="G71">
        <v>10</v>
      </c>
      <c r="H71">
        <v>2019</v>
      </c>
      <c r="I71">
        <v>3635</v>
      </c>
      <c r="J71">
        <v>1599.4</v>
      </c>
      <c r="N71" s="1"/>
    </row>
    <row r="72" spans="1:14">
      <c r="A72">
        <v>3</v>
      </c>
      <c r="B72">
        <v>504962</v>
      </c>
      <c r="C72" t="s">
        <v>12</v>
      </c>
      <c r="D72" s="2">
        <v>1403</v>
      </c>
      <c r="E72" s="1">
        <v>43739</v>
      </c>
      <c r="F72">
        <v>1</v>
      </c>
      <c r="G72">
        <v>10</v>
      </c>
      <c r="H72">
        <v>2019</v>
      </c>
      <c r="I72">
        <v>7015</v>
      </c>
      <c r="J72">
        <v>3086.6000000000004</v>
      </c>
      <c r="N72" s="1"/>
    </row>
    <row r="73" spans="1:14">
      <c r="A73">
        <v>3</v>
      </c>
      <c r="B73">
        <v>657776</v>
      </c>
      <c r="C73" t="s">
        <v>12</v>
      </c>
      <c r="D73" s="2">
        <v>2076</v>
      </c>
      <c r="E73" s="1">
        <v>43739</v>
      </c>
      <c r="F73">
        <v>1</v>
      </c>
      <c r="G73">
        <v>10</v>
      </c>
      <c r="H73">
        <v>2019</v>
      </c>
      <c r="I73">
        <v>10380</v>
      </c>
      <c r="J73">
        <v>4567.2000000000007</v>
      </c>
      <c r="N73" s="1"/>
    </row>
    <row r="74" spans="1:14">
      <c r="A74">
        <v>1</v>
      </c>
      <c r="B74">
        <v>423355</v>
      </c>
      <c r="C74" t="s">
        <v>12</v>
      </c>
      <c r="D74" s="2">
        <v>344</v>
      </c>
      <c r="E74" s="1">
        <v>43739</v>
      </c>
      <c r="F74">
        <v>1</v>
      </c>
      <c r="G74">
        <v>10</v>
      </c>
      <c r="H74">
        <v>2019</v>
      </c>
      <c r="I74">
        <v>1720</v>
      </c>
      <c r="J74">
        <v>756.80000000000007</v>
      </c>
      <c r="N74" s="1"/>
    </row>
    <row r="75" spans="1:14">
      <c r="A75">
        <v>5</v>
      </c>
      <c r="B75">
        <v>594129</v>
      </c>
      <c r="C75" t="s">
        <v>12</v>
      </c>
      <c r="D75" s="2">
        <v>1743</v>
      </c>
      <c r="E75" s="1">
        <v>43739</v>
      </c>
      <c r="F75">
        <v>1</v>
      </c>
      <c r="G75">
        <v>10</v>
      </c>
      <c r="H75">
        <v>2019</v>
      </c>
      <c r="I75">
        <v>8715</v>
      </c>
      <c r="J75">
        <v>3834.6000000000004</v>
      </c>
      <c r="N75" s="1"/>
    </row>
    <row r="76" spans="1:14">
      <c r="A76">
        <v>1</v>
      </c>
      <c r="B76">
        <v>225353</v>
      </c>
      <c r="C76" t="s">
        <v>12</v>
      </c>
      <c r="D76" s="2">
        <v>1727</v>
      </c>
      <c r="E76" s="1">
        <v>43739</v>
      </c>
      <c r="F76">
        <v>1</v>
      </c>
      <c r="G76">
        <v>10</v>
      </c>
      <c r="H76">
        <v>2019</v>
      </c>
      <c r="I76">
        <v>8635</v>
      </c>
      <c r="J76">
        <v>3799.4</v>
      </c>
      <c r="N76" s="1"/>
    </row>
    <row r="77" spans="1:14">
      <c r="A77">
        <v>3</v>
      </c>
      <c r="B77">
        <v>576749</v>
      </c>
      <c r="C77" t="s">
        <v>13</v>
      </c>
      <c r="D77" s="2">
        <v>766</v>
      </c>
      <c r="E77" s="1">
        <v>43739</v>
      </c>
      <c r="F77">
        <v>1</v>
      </c>
      <c r="G77">
        <v>10</v>
      </c>
      <c r="H77">
        <v>2019</v>
      </c>
      <c r="I77">
        <v>3064</v>
      </c>
      <c r="J77">
        <v>1149</v>
      </c>
      <c r="N77" s="1"/>
    </row>
    <row r="78" spans="1:14">
      <c r="A78">
        <v>5</v>
      </c>
      <c r="B78">
        <v>238485</v>
      </c>
      <c r="C78" t="s">
        <v>13</v>
      </c>
      <c r="D78" s="2">
        <v>494</v>
      </c>
      <c r="E78" s="1">
        <v>43739</v>
      </c>
      <c r="F78">
        <v>1</v>
      </c>
      <c r="G78">
        <v>10</v>
      </c>
      <c r="H78">
        <v>2019</v>
      </c>
      <c r="I78">
        <v>1976</v>
      </c>
      <c r="J78">
        <v>741</v>
      </c>
      <c r="N78" s="1"/>
    </row>
    <row r="79" spans="1:14">
      <c r="A79">
        <v>1</v>
      </c>
      <c r="B79">
        <v>893967</v>
      </c>
      <c r="C79" t="s">
        <v>13</v>
      </c>
      <c r="D79" s="2">
        <v>214</v>
      </c>
      <c r="E79" s="1">
        <v>43739</v>
      </c>
      <c r="F79">
        <v>1</v>
      </c>
      <c r="G79">
        <v>10</v>
      </c>
      <c r="H79">
        <v>2019</v>
      </c>
      <c r="I79">
        <v>856</v>
      </c>
      <c r="J79">
        <v>321</v>
      </c>
      <c r="N79" s="1"/>
    </row>
    <row r="80" spans="1:14">
      <c r="A80">
        <v>2</v>
      </c>
      <c r="B80">
        <v>654585</v>
      </c>
      <c r="C80" t="s">
        <v>13</v>
      </c>
      <c r="D80" s="2">
        <v>2851</v>
      </c>
      <c r="E80" s="1">
        <v>43739</v>
      </c>
      <c r="F80">
        <v>1</v>
      </c>
      <c r="G80">
        <v>10</v>
      </c>
      <c r="H80">
        <v>2019</v>
      </c>
      <c r="I80">
        <v>11404</v>
      </c>
      <c r="J80">
        <v>4276.5</v>
      </c>
      <c r="N80" s="1"/>
    </row>
    <row r="81" spans="1:14">
      <c r="A81">
        <v>4</v>
      </c>
      <c r="B81">
        <v>288662</v>
      </c>
      <c r="C81" t="s">
        <v>13</v>
      </c>
      <c r="D81" s="2">
        <v>2299</v>
      </c>
      <c r="E81" s="1">
        <v>43739</v>
      </c>
      <c r="F81">
        <v>1</v>
      </c>
      <c r="G81">
        <v>10</v>
      </c>
      <c r="H81">
        <v>2019</v>
      </c>
      <c r="I81">
        <v>9196</v>
      </c>
      <c r="J81">
        <v>3448.5</v>
      </c>
      <c r="N81" s="1"/>
    </row>
    <row r="82" spans="1:14">
      <c r="A82">
        <v>5</v>
      </c>
      <c r="B82">
        <v>496752</v>
      </c>
      <c r="C82" t="s">
        <v>13</v>
      </c>
      <c r="D82" s="2">
        <v>367</v>
      </c>
      <c r="E82" s="1">
        <v>43739</v>
      </c>
      <c r="F82">
        <v>1</v>
      </c>
      <c r="G82">
        <v>10</v>
      </c>
      <c r="H82">
        <v>2019</v>
      </c>
      <c r="I82">
        <v>1468</v>
      </c>
      <c r="J82">
        <v>550.5</v>
      </c>
      <c r="N82" s="1"/>
    </row>
    <row r="83" spans="1:14">
      <c r="A83">
        <v>4</v>
      </c>
      <c r="B83">
        <v>395290</v>
      </c>
      <c r="C83" t="s">
        <v>13</v>
      </c>
      <c r="D83" s="2">
        <v>386</v>
      </c>
      <c r="E83" s="1">
        <v>43739</v>
      </c>
      <c r="F83">
        <v>1</v>
      </c>
      <c r="G83">
        <v>10</v>
      </c>
      <c r="H83">
        <v>2019</v>
      </c>
      <c r="I83">
        <v>1544</v>
      </c>
      <c r="J83">
        <v>579</v>
      </c>
      <c r="N83" s="1"/>
    </row>
    <row r="84" spans="1:14">
      <c r="A84">
        <v>3</v>
      </c>
      <c r="B84">
        <v>518063</v>
      </c>
      <c r="C84" t="s">
        <v>13</v>
      </c>
      <c r="D84" s="2">
        <v>1198</v>
      </c>
      <c r="E84" s="1">
        <v>43739</v>
      </c>
      <c r="F84">
        <v>1</v>
      </c>
      <c r="G84">
        <v>10</v>
      </c>
      <c r="H84">
        <v>2019</v>
      </c>
      <c r="I84">
        <v>4792</v>
      </c>
      <c r="J84">
        <v>1797</v>
      </c>
      <c r="N84" s="1"/>
    </row>
    <row r="85" spans="1:14">
      <c r="A85">
        <v>1</v>
      </c>
      <c r="B85">
        <v>727283</v>
      </c>
      <c r="C85" t="s">
        <v>13</v>
      </c>
      <c r="D85" s="2">
        <v>2996</v>
      </c>
      <c r="E85" s="1">
        <v>43739</v>
      </c>
      <c r="F85">
        <v>1</v>
      </c>
      <c r="G85">
        <v>10</v>
      </c>
      <c r="H85">
        <v>2019</v>
      </c>
      <c r="I85">
        <v>11984</v>
      </c>
      <c r="J85">
        <v>4494</v>
      </c>
      <c r="N85" s="1"/>
    </row>
    <row r="86" spans="1:14">
      <c r="A86">
        <v>3</v>
      </c>
      <c r="B86">
        <v>243929</v>
      </c>
      <c r="C86" t="s">
        <v>14</v>
      </c>
      <c r="D86" s="2">
        <v>494</v>
      </c>
      <c r="E86" s="1">
        <v>43739</v>
      </c>
      <c r="F86">
        <v>1</v>
      </c>
      <c r="G86">
        <v>10</v>
      </c>
      <c r="H86">
        <v>2019</v>
      </c>
      <c r="I86">
        <v>1482</v>
      </c>
      <c r="J86">
        <v>617.5</v>
      </c>
      <c r="N86" s="1"/>
    </row>
    <row r="87" spans="1:14">
      <c r="A87">
        <v>5</v>
      </c>
      <c r="B87">
        <v>827058</v>
      </c>
      <c r="C87" t="s">
        <v>14</v>
      </c>
      <c r="D87" s="2">
        <v>214</v>
      </c>
      <c r="E87" s="1">
        <v>43739</v>
      </c>
      <c r="F87">
        <v>1</v>
      </c>
      <c r="G87">
        <v>10</v>
      </c>
      <c r="H87">
        <v>2019</v>
      </c>
      <c r="I87">
        <v>642</v>
      </c>
      <c r="J87">
        <v>267.5</v>
      </c>
      <c r="N87" s="1"/>
    </row>
    <row r="88" spans="1:14">
      <c r="A88">
        <v>4</v>
      </c>
      <c r="B88">
        <v>623371</v>
      </c>
      <c r="C88" t="s">
        <v>14</v>
      </c>
      <c r="D88" s="2">
        <v>1945</v>
      </c>
      <c r="E88" s="1">
        <v>43739</v>
      </c>
      <c r="F88">
        <v>1</v>
      </c>
      <c r="G88">
        <v>10</v>
      </c>
      <c r="H88">
        <v>2019</v>
      </c>
      <c r="I88">
        <v>5835</v>
      </c>
      <c r="J88">
        <v>2431.25</v>
      </c>
      <c r="N88" s="1"/>
    </row>
    <row r="89" spans="1:14">
      <c r="A89">
        <v>3</v>
      </c>
      <c r="B89">
        <v>592176</v>
      </c>
      <c r="C89" t="s">
        <v>14</v>
      </c>
      <c r="D89" s="2">
        <v>1514</v>
      </c>
      <c r="E89" s="1">
        <v>43739</v>
      </c>
      <c r="F89">
        <v>1</v>
      </c>
      <c r="G89">
        <v>10</v>
      </c>
      <c r="H89">
        <v>2019</v>
      </c>
      <c r="I89">
        <v>4542</v>
      </c>
      <c r="J89">
        <v>1892.5</v>
      </c>
      <c r="N89" s="1"/>
    </row>
    <row r="90" spans="1:14">
      <c r="A90">
        <v>5</v>
      </c>
      <c r="B90">
        <v>426898</v>
      </c>
      <c r="C90" t="s">
        <v>14</v>
      </c>
      <c r="D90" s="2">
        <v>1389</v>
      </c>
      <c r="E90" s="1">
        <v>43739</v>
      </c>
      <c r="F90">
        <v>1</v>
      </c>
      <c r="G90">
        <v>10</v>
      </c>
      <c r="H90">
        <v>2019</v>
      </c>
      <c r="I90">
        <v>4167</v>
      </c>
      <c r="J90">
        <v>1736.25</v>
      </c>
      <c r="N90" s="1"/>
    </row>
    <row r="91" spans="1:14">
      <c r="A91">
        <v>2</v>
      </c>
      <c r="B91">
        <v>425472</v>
      </c>
      <c r="C91" t="s">
        <v>14</v>
      </c>
      <c r="D91" s="2">
        <v>1221</v>
      </c>
      <c r="E91" s="1">
        <v>43739</v>
      </c>
      <c r="F91">
        <v>1</v>
      </c>
      <c r="G91">
        <v>10</v>
      </c>
      <c r="H91">
        <v>2019</v>
      </c>
      <c r="I91">
        <v>3663</v>
      </c>
      <c r="J91">
        <v>1526.25</v>
      </c>
      <c r="N91" s="1"/>
    </row>
    <row r="92" spans="1:14">
      <c r="A92">
        <v>2</v>
      </c>
      <c r="B92">
        <v>540189</v>
      </c>
      <c r="C92" t="s">
        <v>14</v>
      </c>
      <c r="D92" s="2">
        <v>2294</v>
      </c>
      <c r="E92" s="1">
        <v>43739</v>
      </c>
      <c r="F92">
        <v>1</v>
      </c>
      <c r="G92">
        <v>10</v>
      </c>
      <c r="H92">
        <v>2019</v>
      </c>
      <c r="I92">
        <v>6882</v>
      </c>
      <c r="J92">
        <v>2867.5</v>
      </c>
      <c r="N92" s="1"/>
    </row>
    <row r="93" spans="1:14">
      <c r="A93">
        <v>5</v>
      </c>
      <c r="B93">
        <v>823956</v>
      </c>
      <c r="C93" t="s">
        <v>14</v>
      </c>
      <c r="D93" s="2">
        <v>2167</v>
      </c>
      <c r="E93" s="1">
        <v>43739</v>
      </c>
      <c r="F93">
        <v>1</v>
      </c>
      <c r="G93">
        <v>10</v>
      </c>
      <c r="H93">
        <v>2019</v>
      </c>
      <c r="I93">
        <v>6501</v>
      </c>
      <c r="J93">
        <v>2708.75</v>
      </c>
      <c r="N93" s="1"/>
    </row>
    <row r="94" spans="1:14">
      <c r="A94">
        <v>4</v>
      </c>
      <c r="B94">
        <v>340032</v>
      </c>
      <c r="C94" t="s">
        <v>14</v>
      </c>
      <c r="D94" s="2">
        <v>269</v>
      </c>
      <c r="E94" s="1">
        <v>43739</v>
      </c>
      <c r="F94">
        <v>1</v>
      </c>
      <c r="G94">
        <v>10</v>
      </c>
      <c r="H94">
        <v>2019</v>
      </c>
      <c r="I94">
        <v>807</v>
      </c>
      <c r="J94">
        <v>336.25</v>
      </c>
      <c r="N94" s="1"/>
    </row>
    <row r="95" spans="1:14">
      <c r="A95">
        <v>1</v>
      </c>
      <c r="B95">
        <v>199727</v>
      </c>
      <c r="C95" t="s">
        <v>14</v>
      </c>
      <c r="D95" s="2">
        <v>267</v>
      </c>
      <c r="E95" s="1">
        <v>43739</v>
      </c>
      <c r="F95">
        <v>1</v>
      </c>
      <c r="G95">
        <v>10</v>
      </c>
      <c r="H95">
        <v>2019</v>
      </c>
      <c r="I95">
        <v>801</v>
      </c>
      <c r="J95">
        <v>333.75</v>
      </c>
      <c r="N95" s="1"/>
    </row>
    <row r="96" spans="1:14">
      <c r="A96">
        <v>3</v>
      </c>
      <c r="B96">
        <v>725066</v>
      </c>
      <c r="C96" t="s">
        <v>15</v>
      </c>
      <c r="D96" s="2">
        <v>345</v>
      </c>
      <c r="E96" s="1">
        <v>43739</v>
      </c>
      <c r="F96">
        <v>1</v>
      </c>
      <c r="G96">
        <v>10</v>
      </c>
      <c r="H96">
        <v>2019</v>
      </c>
      <c r="I96">
        <v>2070</v>
      </c>
      <c r="J96">
        <v>948.75</v>
      </c>
      <c r="N96" s="1"/>
    </row>
    <row r="97" spans="1:14">
      <c r="A97">
        <v>5</v>
      </c>
      <c r="B97">
        <v>196520</v>
      </c>
      <c r="C97" t="s">
        <v>15</v>
      </c>
      <c r="D97" s="2">
        <v>663</v>
      </c>
      <c r="E97" s="1">
        <v>43739</v>
      </c>
      <c r="F97">
        <v>1</v>
      </c>
      <c r="G97">
        <v>10</v>
      </c>
      <c r="H97">
        <v>2019</v>
      </c>
      <c r="I97">
        <v>3978</v>
      </c>
      <c r="J97">
        <v>1823.25</v>
      </c>
      <c r="N97" s="1"/>
    </row>
    <row r="98" spans="1:14">
      <c r="A98">
        <v>4</v>
      </c>
      <c r="B98">
        <v>861720</v>
      </c>
      <c r="C98" t="s">
        <v>15</v>
      </c>
      <c r="D98" s="2">
        <v>2966</v>
      </c>
      <c r="E98" s="1">
        <v>43739</v>
      </c>
      <c r="F98">
        <v>1</v>
      </c>
      <c r="G98">
        <v>10</v>
      </c>
      <c r="H98">
        <v>2019</v>
      </c>
      <c r="I98">
        <v>17796</v>
      </c>
      <c r="J98">
        <v>8156.5</v>
      </c>
      <c r="N98" s="1"/>
    </row>
    <row r="99" spans="1:14">
      <c r="A99">
        <v>1</v>
      </c>
      <c r="B99">
        <v>156941</v>
      </c>
      <c r="C99" t="s">
        <v>15</v>
      </c>
      <c r="D99" s="2">
        <v>809</v>
      </c>
      <c r="E99" s="1">
        <v>43739</v>
      </c>
      <c r="F99">
        <v>1</v>
      </c>
      <c r="G99">
        <v>10</v>
      </c>
      <c r="H99">
        <v>2019</v>
      </c>
      <c r="I99">
        <v>4854</v>
      </c>
      <c r="J99">
        <v>2224.75</v>
      </c>
      <c r="N99" s="1"/>
    </row>
    <row r="100" spans="1:14">
      <c r="A100">
        <v>2</v>
      </c>
      <c r="B100">
        <v>431261</v>
      </c>
      <c r="C100" t="s">
        <v>15</v>
      </c>
      <c r="D100" s="2">
        <v>2145</v>
      </c>
      <c r="E100" s="1">
        <v>43739</v>
      </c>
      <c r="F100">
        <v>1</v>
      </c>
      <c r="G100">
        <v>10</v>
      </c>
      <c r="H100">
        <v>2019</v>
      </c>
      <c r="I100">
        <v>12870</v>
      </c>
      <c r="J100">
        <v>5898.75</v>
      </c>
      <c r="N100" s="1"/>
    </row>
    <row r="101" spans="1:14">
      <c r="A101">
        <v>5</v>
      </c>
      <c r="B101">
        <v>295390</v>
      </c>
      <c r="C101" t="s">
        <v>15</v>
      </c>
      <c r="D101" s="2">
        <v>704</v>
      </c>
      <c r="E101" s="1">
        <v>43739</v>
      </c>
      <c r="F101">
        <v>1</v>
      </c>
      <c r="G101">
        <v>10</v>
      </c>
      <c r="H101">
        <v>2019</v>
      </c>
      <c r="I101">
        <v>4224</v>
      </c>
      <c r="J101">
        <v>1936</v>
      </c>
      <c r="N101" s="1"/>
    </row>
    <row r="102" spans="1:14">
      <c r="A102">
        <v>3</v>
      </c>
      <c r="B102">
        <v>669715</v>
      </c>
      <c r="C102" t="s">
        <v>15</v>
      </c>
      <c r="D102" s="2">
        <v>1221</v>
      </c>
      <c r="E102" s="1">
        <v>43739</v>
      </c>
      <c r="F102">
        <v>1</v>
      </c>
      <c r="G102">
        <v>10</v>
      </c>
      <c r="H102">
        <v>2019</v>
      </c>
      <c r="I102">
        <v>7326</v>
      </c>
      <c r="J102">
        <v>3357.75</v>
      </c>
      <c r="N102" s="1"/>
    </row>
    <row r="103" spans="1:14">
      <c r="A103">
        <v>1</v>
      </c>
      <c r="B103">
        <v>881268</v>
      </c>
      <c r="C103" t="s">
        <v>15</v>
      </c>
      <c r="D103" s="2">
        <v>2076</v>
      </c>
      <c r="E103" s="1">
        <v>43739</v>
      </c>
      <c r="F103">
        <v>1</v>
      </c>
      <c r="G103">
        <v>10</v>
      </c>
      <c r="H103">
        <v>2019</v>
      </c>
      <c r="I103">
        <v>12456</v>
      </c>
      <c r="J103">
        <v>5709</v>
      </c>
      <c r="N103" s="1"/>
    </row>
    <row r="104" spans="1:14">
      <c r="A104">
        <v>3</v>
      </c>
      <c r="B104">
        <v>378254</v>
      </c>
      <c r="C104" t="s">
        <v>15</v>
      </c>
      <c r="D104" s="2">
        <v>2294</v>
      </c>
      <c r="E104" s="1">
        <v>43739</v>
      </c>
      <c r="F104">
        <v>1</v>
      </c>
      <c r="G104">
        <v>10</v>
      </c>
      <c r="H104">
        <v>2019</v>
      </c>
      <c r="I104">
        <v>13764</v>
      </c>
      <c r="J104">
        <v>6308.5</v>
      </c>
      <c r="N104" s="1"/>
    </row>
    <row r="105" spans="1:14">
      <c r="A105">
        <v>5</v>
      </c>
      <c r="B105">
        <v>403071</v>
      </c>
      <c r="C105" t="s">
        <v>15</v>
      </c>
      <c r="D105" s="2">
        <v>344</v>
      </c>
      <c r="E105" s="1">
        <v>43739</v>
      </c>
      <c r="F105">
        <v>1</v>
      </c>
      <c r="G105">
        <v>10</v>
      </c>
      <c r="H105">
        <v>2019</v>
      </c>
      <c r="I105">
        <v>2064</v>
      </c>
      <c r="J105">
        <v>946</v>
      </c>
      <c r="N105" s="1"/>
    </row>
    <row r="106" spans="1:14">
      <c r="A106">
        <v>2</v>
      </c>
      <c r="B106">
        <v>867907</v>
      </c>
      <c r="C106" t="s">
        <v>15</v>
      </c>
      <c r="D106" s="2">
        <v>269</v>
      </c>
      <c r="E106" s="1">
        <v>43739</v>
      </c>
      <c r="F106">
        <v>1</v>
      </c>
      <c r="G106">
        <v>10</v>
      </c>
      <c r="H106">
        <v>2019</v>
      </c>
      <c r="I106">
        <v>1614</v>
      </c>
      <c r="J106">
        <v>739.75</v>
      </c>
      <c r="N106" s="1"/>
    </row>
    <row r="107" spans="1:14">
      <c r="A107">
        <v>4</v>
      </c>
      <c r="B107">
        <v>289811</v>
      </c>
      <c r="C107" t="s">
        <v>10</v>
      </c>
      <c r="D107" s="2">
        <v>1725</v>
      </c>
      <c r="E107" s="1">
        <v>43770</v>
      </c>
      <c r="F107">
        <v>1</v>
      </c>
      <c r="G107">
        <v>11</v>
      </c>
      <c r="H107">
        <v>2019</v>
      </c>
      <c r="I107">
        <v>8625</v>
      </c>
      <c r="J107">
        <v>3450</v>
      </c>
      <c r="N107" s="1"/>
    </row>
    <row r="108" spans="1:14">
      <c r="A108">
        <v>1</v>
      </c>
      <c r="B108">
        <v>144696</v>
      </c>
      <c r="C108" t="s">
        <v>10</v>
      </c>
      <c r="D108" s="2">
        <v>912</v>
      </c>
      <c r="E108" s="1">
        <v>43770</v>
      </c>
      <c r="F108">
        <v>1</v>
      </c>
      <c r="G108">
        <v>11</v>
      </c>
      <c r="H108">
        <v>2019</v>
      </c>
      <c r="I108">
        <v>4560</v>
      </c>
      <c r="J108">
        <v>1824</v>
      </c>
      <c r="N108" s="1"/>
    </row>
    <row r="109" spans="1:14">
      <c r="A109">
        <v>1</v>
      </c>
      <c r="B109">
        <v>303687</v>
      </c>
      <c r="C109" t="s">
        <v>10</v>
      </c>
      <c r="D109" s="2">
        <v>1785</v>
      </c>
      <c r="E109" s="1">
        <v>43770</v>
      </c>
      <c r="F109">
        <v>1</v>
      </c>
      <c r="G109">
        <v>11</v>
      </c>
      <c r="H109">
        <v>2019</v>
      </c>
      <c r="I109">
        <v>8925</v>
      </c>
      <c r="J109">
        <v>3570</v>
      </c>
      <c r="N109" s="1"/>
    </row>
    <row r="110" spans="1:14">
      <c r="A110">
        <v>3</v>
      </c>
      <c r="B110">
        <v>521535</v>
      </c>
      <c r="C110" t="s">
        <v>10</v>
      </c>
      <c r="D110" s="2">
        <v>1404</v>
      </c>
      <c r="E110" s="1">
        <v>43770</v>
      </c>
      <c r="F110">
        <v>1</v>
      </c>
      <c r="G110">
        <v>11</v>
      </c>
      <c r="H110">
        <v>2019</v>
      </c>
      <c r="I110">
        <v>7020</v>
      </c>
      <c r="J110">
        <v>2808</v>
      </c>
      <c r="N110" s="1"/>
    </row>
    <row r="111" spans="1:14">
      <c r="A111">
        <v>5</v>
      </c>
      <c r="B111">
        <v>867252</v>
      </c>
      <c r="C111" t="s">
        <v>10</v>
      </c>
      <c r="D111" s="2">
        <v>2763</v>
      </c>
      <c r="E111" s="1">
        <v>43770</v>
      </c>
      <c r="F111">
        <v>1</v>
      </c>
      <c r="G111">
        <v>11</v>
      </c>
      <c r="H111">
        <v>2019</v>
      </c>
      <c r="I111">
        <v>13815</v>
      </c>
      <c r="J111">
        <v>5526</v>
      </c>
      <c r="N111" s="1"/>
    </row>
    <row r="112" spans="1:14">
      <c r="A112">
        <v>3</v>
      </c>
      <c r="B112">
        <v>263663</v>
      </c>
      <c r="C112" t="s">
        <v>10</v>
      </c>
      <c r="D112" s="2">
        <v>2146</v>
      </c>
      <c r="E112" s="1">
        <v>43770</v>
      </c>
      <c r="F112">
        <v>1</v>
      </c>
      <c r="G112">
        <v>11</v>
      </c>
      <c r="H112">
        <v>2019</v>
      </c>
      <c r="I112">
        <v>10730</v>
      </c>
      <c r="J112">
        <v>4292</v>
      </c>
      <c r="N112" s="1"/>
    </row>
    <row r="113" spans="1:14">
      <c r="A113">
        <v>3</v>
      </c>
      <c r="B113">
        <v>839631</v>
      </c>
      <c r="C113" t="s">
        <v>10</v>
      </c>
      <c r="D113" s="2">
        <v>1775</v>
      </c>
      <c r="E113" s="1">
        <v>43770</v>
      </c>
      <c r="F113">
        <v>1</v>
      </c>
      <c r="G113">
        <v>11</v>
      </c>
      <c r="H113">
        <v>2019</v>
      </c>
      <c r="I113">
        <v>8875</v>
      </c>
      <c r="J113">
        <v>3550</v>
      </c>
      <c r="N113" s="1"/>
    </row>
    <row r="114" spans="1:14">
      <c r="A114">
        <v>4</v>
      </c>
      <c r="B114">
        <v>754823</v>
      </c>
      <c r="C114" t="s">
        <v>10</v>
      </c>
      <c r="D114" s="2">
        <v>2222</v>
      </c>
      <c r="E114" s="1">
        <v>43770</v>
      </c>
      <c r="F114">
        <v>1</v>
      </c>
      <c r="G114">
        <v>11</v>
      </c>
      <c r="H114">
        <v>2019</v>
      </c>
      <c r="I114">
        <v>11110</v>
      </c>
      <c r="J114">
        <v>4444</v>
      </c>
      <c r="N114" s="1"/>
    </row>
    <row r="115" spans="1:14">
      <c r="A115">
        <v>5</v>
      </c>
      <c r="B115">
        <v>364025</v>
      </c>
      <c r="C115" t="s">
        <v>10</v>
      </c>
      <c r="D115" s="2">
        <v>1922</v>
      </c>
      <c r="E115" s="1">
        <v>43770</v>
      </c>
      <c r="F115">
        <v>1</v>
      </c>
      <c r="G115">
        <v>11</v>
      </c>
      <c r="H115">
        <v>2019</v>
      </c>
      <c r="I115">
        <v>9610</v>
      </c>
      <c r="J115">
        <v>3844</v>
      </c>
      <c r="N115" s="1"/>
    </row>
    <row r="116" spans="1:14">
      <c r="A116">
        <v>5</v>
      </c>
      <c r="B116">
        <v>117162</v>
      </c>
      <c r="C116" t="s">
        <v>10</v>
      </c>
      <c r="D116" s="2">
        <v>2007</v>
      </c>
      <c r="E116" s="1">
        <v>43770</v>
      </c>
      <c r="F116">
        <v>1</v>
      </c>
      <c r="G116">
        <v>11</v>
      </c>
      <c r="H116">
        <v>2019</v>
      </c>
      <c r="I116">
        <v>10035</v>
      </c>
      <c r="J116">
        <v>4014</v>
      </c>
      <c r="N116" s="1"/>
    </row>
    <row r="117" spans="1:14">
      <c r="A117">
        <v>3</v>
      </c>
      <c r="B117">
        <v>708450</v>
      </c>
      <c r="C117" t="s">
        <v>10</v>
      </c>
      <c r="D117" s="2">
        <v>2151</v>
      </c>
      <c r="E117" s="1">
        <v>43770</v>
      </c>
      <c r="F117">
        <v>1</v>
      </c>
      <c r="G117">
        <v>11</v>
      </c>
      <c r="H117">
        <v>2019</v>
      </c>
      <c r="I117">
        <v>10755</v>
      </c>
      <c r="J117">
        <v>4302</v>
      </c>
      <c r="N117" s="1"/>
    </row>
    <row r="118" spans="1:14">
      <c r="A118">
        <v>4</v>
      </c>
      <c r="B118">
        <v>113657</v>
      </c>
      <c r="C118" t="s">
        <v>11</v>
      </c>
      <c r="D118" s="2">
        <v>1660</v>
      </c>
      <c r="E118" s="1">
        <v>43770</v>
      </c>
      <c r="F118">
        <v>1</v>
      </c>
      <c r="G118">
        <v>11</v>
      </c>
      <c r="H118">
        <v>2019</v>
      </c>
      <c r="I118">
        <v>1660</v>
      </c>
      <c r="J118">
        <v>830</v>
      </c>
      <c r="N118" s="1"/>
    </row>
    <row r="119" spans="1:14">
      <c r="A119">
        <v>4</v>
      </c>
      <c r="B119">
        <v>443834</v>
      </c>
      <c r="C119" t="s">
        <v>11</v>
      </c>
      <c r="D119" s="2">
        <v>2500</v>
      </c>
      <c r="E119" s="1">
        <v>43770</v>
      </c>
      <c r="F119">
        <v>1</v>
      </c>
      <c r="G119">
        <v>11</v>
      </c>
      <c r="H119">
        <v>2019</v>
      </c>
      <c r="I119">
        <v>2500</v>
      </c>
      <c r="J119">
        <v>1250</v>
      </c>
      <c r="N119" s="1"/>
    </row>
    <row r="120" spans="1:14">
      <c r="A120">
        <v>3</v>
      </c>
      <c r="B120">
        <v>431913</v>
      </c>
      <c r="C120" t="s">
        <v>11</v>
      </c>
      <c r="D120" s="2">
        <v>1857</v>
      </c>
      <c r="E120" s="1">
        <v>43770</v>
      </c>
      <c r="F120">
        <v>1</v>
      </c>
      <c r="G120">
        <v>11</v>
      </c>
      <c r="H120">
        <v>2019</v>
      </c>
      <c r="I120">
        <v>1857</v>
      </c>
      <c r="J120">
        <v>928.5</v>
      </c>
      <c r="N120" s="1"/>
    </row>
    <row r="121" spans="1:14">
      <c r="A121">
        <v>5</v>
      </c>
      <c r="B121">
        <v>352793</v>
      </c>
      <c r="C121" t="s">
        <v>11</v>
      </c>
      <c r="D121" s="2">
        <v>1804</v>
      </c>
      <c r="E121" s="1">
        <v>43770</v>
      </c>
      <c r="F121">
        <v>1</v>
      </c>
      <c r="G121">
        <v>11</v>
      </c>
      <c r="H121">
        <v>2019</v>
      </c>
      <c r="I121">
        <v>1804</v>
      </c>
      <c r="J121">
        <v>902</v>
      </c>
      <c r="N121" s="1"/>
    </row>
    <row r="122" spans="1:14">
      <c r="A122">
        <v>4</v>
      </c>
      <c r="B122">
        <v>182735</v>
      </c>
      <c r="C122" t="s">
        <v>12</v>
      </c>
      <c r="D122" s="2">
        <v>321</v>
      </c>
      <c r="E122" s="1">
        <v>43770</v>
      </c>
      <c r="F122">
        <v>1</v>
      </c>
      <c r="G122">
        <v>11</v>
      </c>
      <c r="H122">
        <v>2019</v>
      </c>
      <c r="I122">
        <v>1605</v>
      </c>
      <c r="J122">
        <v>706.2</v>
      </c>
      <c r="N122" s="1"/>
    </row>
    <row r="123" spans="1:14">
      <c r="A123">
        <v>4</v>
      </c>
      <c r="B123">
        <v>256775</v>
      </c>
      <c r="C123" t="s">
        <v>12</v>
      </c>
      <c r="D123" s="2">
        <v>970</v>
      </c>
      <c r="E123" s="1">
        <v>43770</v>
      </c>
      <c r="F123">
        <v>1</v>
      </c>
      <c r="G123">
        <v>11</v>
      </c>
      <c r="H123">
        <v>2019</v>
      </c>
      <c r="I123">
        <v>4850</v>
      </c>
      <c r="J123">
        <v>2134</v>
      </c>
      <c r="N123" s="1"/>
    </row>
    <row r="124" spans="1:14">
      <c r="A124">
        <v>4</v>
      </c>
      <c r="B124">
        <v>519269</v>
      </c>
      <c r="C124" t="s">
        <v>12</v>
      </c>
      <c r="D124" s="2">
        <v>2548</v>
      </c>
      <c r="E124" s="1">
        <v>43770</v>
      </c>
      <c r="F124">
        <v>1</v>
      </c>
      <c r="G124">
        <v>11</v>
      </c>
      <c r="H124">
        <v>2019</v>
      </c>
      <c r="I124">
        <v>12740</v>
      </c>
      <c r="J124">
        <v>5605.6</v>
      </c>
      <c r="N124" s="1"/>
    </row>
    <row r="125" spans="1:14">
      <c r="A125">
        <v>2</v>
      </c>
      <c r="B125">
        <v>227896</v>
      </c>
      <c r="C125" t="s">
        <v>12</v>
      </c>
      <c r="D125" s="2">
        <v>1870</v>
      </c>
      <c r="E125" s="1">
        <v>43770</v>
      </c>
      <c r="F125">
        <v>1</v>
      </c>
      <c r="G125">
        <v>11</v>
      </c>
      <c r="H125">
        <v>2019</v>
      </c>
      <c r="I125">
        <v>9350</v>
      </c>
      <c r="J125">
        <v>4114</v>
      </c>
      <c r="N125" s="1"/>
    </row>
    <row r="126" spans="1:14">
      <c r="A126">
        <v>4</v>
      </c>
      <c r="B126">
        <v>403455</v>
      </c>
      <c r="C126" t="s">
        <v>13</v>
      </c>
      <c r="D126" s="2">
        <v>2145</v>
      </c>
      <c r="E126" s="1">
        <v>43770</v>
      </c>
      <c r="F126">
        <v>1</v>
      </c>
      <c r="G126">
        <v>11</v>
      </c>
      <c r="H126">
        <v>2019</v>
      </c>
      <c r="I126">
        <v>8580</v>
      </c>
      <c r="J126">
        <v>3217.5</v>
      </c>
      <c r="N126" s="1"/>
    </row>
    <row r="127" spans="1:14">
      <c r="A127">
        <v>2</v>
      </c>
      <c r="B127">
        <v>296951</v>
      </c>
      <c r="C127" t="s">
        <v>13</v>
      </c>
      <c r="D127" s="2">
        <v>1016</v>
      </c>
      <c r="E127" s="1">
        <v>43770</v>
      </c>
      <c r="F127">
        <v>1</v>
      </c>
      <c r="G127">
        <v>11</v>
      </c>
      <c r="H127">
        <v>2019</v>
      </c>
      <c r="I127">
        <v>4064</v>
      </c>
      <c r="J127">
        <v>1524</v>
      </c>
      <c r="N127" s="1"/>
    </row>
    <row r="128" spans="1:14">
      <c r="A128">
        <v>4</v>
      </c>
      <c r="B128">
        <v>680427</v>
      </c>
      <c r="C128" t="s">
        <v>13</v>
      </c>
      <c r="D128" s="2">
        <v>263</v>
      </c>
      <c r="E128" s="1">
        <v>43770</v>
      </c>
      <c r="F128">
        <v>1</v>
      </c>
      <c r="G128">
        <v>11</v>
      </c>
      <c r="H128">
        <v>2019</v>
      </c>
      <c r="I128">
        <v>1052</v>
      </c>
      <c r="J128">
        <v>394.5</v>
      </c>
      <c r="N128" s="1"/>
    </row>
    <row r="129" spans="1:14">
      <c r="A129">
        <v>3</v>
      </c>
      <c r="B129">
        <v>607051</v>
      </c>
      <c r="C129" t="s">
        <v>13</v>
      </c>
      <c r="D129" s="2">
        <v>1560</v>
      </c>
      <c r="E129" s="1">
        <v>43770</v>
      </c>
      <c r="F129">
        <v>1</v>
      </c>
      <c r="G129">
        <v>11</v>
      </c>
      <c r="H129">
        <v>2019</v>
      </c>
      <c r="I129">
        <v>6240</v>
      </c>
      <c r="J129">
        <v>2340</v>
      </c>
      <c r="N129" s="1"/>
    </row>
    <row r="130" spans="1:14">
      <c r="A130">
        <v>5</v>
      </c>
      <c r="B130">
        <v>535522</v>
      </c>
      <c r="C130" t="s">
        <v>13</v>
      </c>
      <c r="D130" s="2">
        <v>2706</v>
      </c>
      <c r="E130" s="1">
        <v>43770</v>
      </c>
      <c r="F130">
        <v>1</v>
      </c>
      <c r="G130">
        <v>11</v>
      </c>
      <c r="H130">
        <v>2019</v>
      </c>
      <c r="I130">
        <v>10824</v>
      </c>
      <c r="J130">
        <v>4059</v>
      </c>
      <c r="N130" s="1"/>
    </row>
    <row r="131" spans="1:14">
      <c r="A131">
        <v>3</v>
      </c>
      <c r="B131">
        <v>646205</v>
      </c>
      <c r="C131" t="s">
        <v>14</v>
      </c>
      <c r="D131" s="2">
        <v>1265</v>
      </c>
      <c r="E131" s="1">
        <v>43770</v>
      </c>
      <c r="F131">
        <v>1</v>
      </c>
      <c r="G131">
        <v>11</v>
      </c>
      <c r="H131">
        <v>2019</v>
      </c>
      <c r="I131">
        <v>3795</v>
      </c>
      <c r="J131">
        <v>1581.25</v>
      </c>
      <c r="N131" s="1"/>
    </row>
    <row r="132" spans="1:14">
      <c r="A132">
        <v>1</v>
      </c>
      <c r="B132">
        <v>872775</v>
      </c>
      <c r="C132" t="s">
        <v>14</v>
      </c>
      <c r="D132" s="2">
        <v>2297</v>
      </c>
      <c r="E132" s="1">
        <v>43770</v>
      </c>
      <c r="F132">
        <v>1</v>
      </c>
      <c r="G132">
        <v>11</v>
      </c>
      <c r="H132">
        <v>2019</v>
      </c>
      <c r="I132">
        <v>6891</v>
      </c>
      <c r="J132">
        <v>2871.25</v>
      </c>
      <c r="N132" s="1"/>
    </row>
    <row r="133" spans="1:14">
      <c r="A133">
        <v>5</v>
      </c>
      <c r="B133">
        <v>441711</v>
      </c>
      <c r="C133" t="s">
        <v>14</v>
      </c>
      <c r="D133" s="2">
        <v>1123</v>
      </c>
      <c r="E133" s="1">
        <v>43770</v>
      </c>
      <c r="F133">
        <v>1</v>
      </c>
      <c r="G133">
        <v>11</v>
      </c>
      <c r="H133">
        <v>2019</v>
      </c>
      <c r="I133">
        <v>3369</v>
      </c>
      <c r="J133">
        <v>1403.75</v>
      </c>
      <c r="N133" s="1"/>
    </row>
    <row r="134" spans="1:14">
      <c r="A134">
        <v>4</v>
      </c>
      <c r="B134">
        <v>750389</v>
      </c>
      <c r="C134" t="s">
        <v>14</v>
      </c>
      <c r="D134" s="2">
        <v>2682</v>
      </c>
      <c r="E134" s="1">
        <v>43770</v>
      </c>
      <c r="F134">
        <v>1</v>
      </c>
      <c r="G134">
        <v>11</v>
      </c>
      <c r="H134">
        <v>2019</v>
      </c>
      <c r="I134">
        <v>8046</v>
      </c>
      <c r="J134">
        <v>3352.5</v>
      </c>
      <c r="N134" s="1"/>
    </row>
    <row r="135" spans="1:14">
      <c r="A135">
        <v>2</v>
      </c>
      <c r="B135">
        <v>856913</v>
      </c>
      <c r="C135" t="s">
        <v>14</v>
      </c>
      <c r="D135" s="2">
        <v>2935</v>
      </c>
      <c r="E135" s="1">
        <v>43770</v>
      </c>
      <c r="F135">
        <v>1</v>
      </c>
      <c r="G135">
        <v>11</v>
      </c>
      <c r="H135">
        <v>2019</v>
      </c>
      <c r="I135">
        <v>8805</v>
      </c>
      <c r="J135">
        <v>3668.75</v>
      </c>
      <c r="N135" s="1"/>
    </row>
    <row r="136" spans="1:14">
      <c r="A136">
        <v>4</v>
      </c>
      <c r="B136">
        <v>780393</v>
      </c>
      <c r="C136" t="s">
        <v>14</v>
      </c>
      <c r="D136" s="2">
        <v>2954</v>
      </c>
      <c r="E136" s="1">
        <v>43770</v>
      </c>
      <c r="F136">
        <v>1</v>
      </c>
      <c r="G136">
        <v>11</v>
      </c>
      <c r="H136">
        <v>2019</v>
      </c>
      <c r="I136">
        <v>8862</v>
      </c>
      <c r="J136">
        <v>3692.5</v>
      </c>
      <c r="N136" s="1"/>
    </row>
    <row r="137" spans="1:14">
      <c r="A137">
        <v>2</v>
      </c>
      <c r="B137">
        <v>894331</v>
      </c>
      <c r="C137" t="s">
        <v>15</v>
      </c>
      <c r="D137" s="2">
        <v>2092</v>
      </c>
      <c r="E137" s="1">
        <v>43770</v>
      </c>
      <c r="F137">
        <v>1</v>
      </c>
      <c r="G137">
        <v>11</v>
      </c>
      <c r="H137">
        <v>2019</v>
      </c>
      <c r="I137">
        <v>12552</v>
      </c>
      <c r="J137">
        <v>5753</v>
      </c>
      <c r="N137" s="1"/>
    </row>
    <row r="138" spans="1:14">
      <c r="A138">
        <v>4</v>
      </c>
      <c r="B138">
        <v>289924</v>
      </c>
      <c r="C138" t="s">
        <v>15</v>
      </c>
      <c r="D138" s="2">
        <v>386</v>
      </c>
      <c r="E138" s="1">
        <v>43770</v>
      </c>
      <c r="F138">
        <v>1</v>
      </c>
      <c r="G138">
        <v>11</v>
      </c>
      <c r="H138">
        <v>2019</v>
      </c>
      <c r="I138">
        <v>2316</v>
      </c>
      <c r="J138">
        <v>1061.5</v>
      </c>
      <c r="N138" s="1"/>
    </row>
    <row r="139" spans="1:14">
      <c r="A139">
        <v>5</v>
      </c>
      <c r="B139">
        <v>814769</v>
      </c>
      <c r="C139" t="s">
        <v>15</v>
      </c>
      <c r="D139" s="2">
        <v>2605</v>
      </c>
      <c r="E139" s="1">
        <v>43770</v>
      </c>
      <c r="F139">
        <v>1</v>
      </c>
      <c r="G139">
        <v>11</v>
      </c>
      <c r="H139">
        <v>2019</v>
      </c>
      <c r="I139">
        <v>15630</v>
      </c>
      <c r="J139">
        <v>7163.75</v>
      </c>
      <c r="N139" s="1"/>
    </row>
    <row r="140" spans="1:14">
      <c r="A140">
        <v>2</v>
      </c>
      <c r="B140">
        <v>752353</v>
      </c>
      <c r="C140" t="s">
        <v>15</v>
      </c>
      <c r="D140" s="2">
        <v>2536</v>
      </c>
      <c r="E140" s="1">
        <v>43770</v>
      </c>
      <c r="F140">
        <v>1</v>
      </c>
      <c r="G140">
        <v>11</v>
      </c>
      <c r="H140">
        <v>2019</v>
      </c>
      <c r="I140">
        <v>15216</v>
      </c>
      <c r="J140">
        <v>6974</v>
      </c>
      <c r="N140" s="1"/>
    </row>
    <row r="141" spans="1:14">
      <c r="A141">
        <v>4</v>
      </c>
      <c r="B141">
        <v>208456</v>
      </c>
      <c r="C141" t="s">
        <v>15</v>
      </c>
      <c r="D141" s="2">
        <v>2574</v>
      </c>
      <c r="E141" s="1">
        <v>43770</v>
      </c>
      <c r="F141">
        <v>1</v>
      </c>
      <c r="G141">
        <v>11</v>
      </c>
      <c r="H141">
        <v>2019</v>
      </c>
      <c r="I141">
        <v>15444</v>
      </c>
      <c r="J141">
        <v>7078.5</v>
      </c>
      <c r="N141" s="1"/>
    </row>
    <row r="142" spans="1:14">
      <c r="A142">
        <v>5</v>
      </c>
      <c r="B142">
        <v>529550</v>
      </c>
      <c r="C142" t="s">
        <v>10</v>
      </c>
      <c r="D142" s="2">
        <v>2152</v>
      </c>
      <c r="E142" s="1">
        <v>43800</v>
      </c>
      <c r="F142">
        <v>1</v>
      </c>
      <c r="G142">
        <v>12</v>
      </c>
      <c r="H142">
        <v>2019</v>
      </c>
      <c r="I142">
        <v>10760</v>
      </c>
      <c r="J142">
        <v>4304</v>
      </c>
      <c r="N142" s="1"/>
    </row>
    <row r="143" spans="1:14">
      <c r="A143">
        <v>5</v>
      </c>
      <c r="B143">
        <v>793514</v>
      </c>
      <c r="C143" t="s">
        <v>10</v>
      </c>
      <c r="D143" s="2">
        <v>1925</v>
      </c>
      <c r="E143" s="1">
        <v>43800</v>
      </c>
      <c r="F143">
        <v>1</v>
      </c>
      <c r="G143">
        <v>12</v>
      </c>
      <c r="H143">
        <v>2019</v>
      </c>
      <c r="I143">
        <v>9625</v>
      </c>
      <c r="J143">
        <v>3850</v>
      </c>
      <c r="N143" s="1"/>
    </row>
    <row r="144" spans="1:14">
      <c r="A144">
        <v>1</v>
      </c>
      <c r="B144">
        <v>780708</v>
      </c>
      <c r="C144" t="s">
        <v>10</v>
      </c>
      <c r="D144" s="2">
        <v>2013</v>
      </c>
      <c r="E144" s="1">
        <v>43800</v>
      </c>
      <c r="F144">
        <v>1</v>
      </c>
      <c r="G144">
        <v>12</v>
      </c>
      <c r="H144">
        <v>2019</v>
      </c>
      <c r="I144">
        <v>10065</v>
      </c>
      <c r="J144">
        <v>4026</v>
      </c>
      <c r="N144" s="1"/>
    </row>
    <row r="145" spans="1:14">
      <c r="A145">
        <v>2</v>
      </c>
      <c r="B145">
        <v>738910</v>
      </c>
      <c r="C145" t="s">
        <v>10</v>
      </c>
      <c r="D145" s="2">
        <v>2261</v>
      </c>
      <c r="E145" s="1">
        <v>43800</v>
      </c>
      <c r="F145">
        <v>1</v>
      </c>
      <c r="G145">
        <v>12</v>
      </c>
      <c r="H145">
        <v>2019</v>
      </c>
      <c r="I145">
        <v>11305</v>
      </c>
      <c r="J145">
        <v>4522</v>
      </c>
      <c r="N145" s="1"/>
    </row>
    <row r="146" spans="1:14">
      <c r="A146">
        <v>4</v>
      </c>
      <c r="B146">
        <v>348194</v>
      </c>
      <c r="C146" t="s">
        <v>10</v>
      </c>
      <c r="D146" s="2">
        <v>1802</v>
      </c>
      <c r="E146" s="1">
        <v>43800</v>
      </c>
      <c r="F146">
        <v>1</v>
      </c>
      <c r="G146">
        <v>12</v>
      </c>
      <c r="H146">
        <v>2019</v>
      </c>
      <c r="I146">
        <v>9010</v>
      </c>
      <c r="J146">
        <v>3604</v>
      </c>
      <c r="N146" s="1"/>
    </row>
    <row r="147" spans="1:14">
      <c r="A147">
        <v>4</v>
      </c>
      <c r="B147">
        <v>685544</v>
      </c>
      <c r="C147" t="s">
        <v>10</v>
      </c>
      <c r="D147" s="2">
        <v>2136</v>
      </c>
      <c r="E147" s="1">
        <v>43800</v>
      </c>
      <c r="F147">
        <v>1</v>
      </c>
      <c r="G147">
        <v>12</v>
      </c>
      <c r="H147">
        <v>2019</v>
      </c>
      <c r="I147">
        <v>10680</v>
      </c>
      <c r="J147">
        <v>4272</v>
      </c>
      <c r="N147" s="1"/>
    </row>
    <row r="148" spans="1:14">
      <c r="A148">
        <v>1</v>
      </c>
      <c r="B148">
        <v>636993</v>
      </c>
      <c r="C148" t="s">
        <v>10</v>
      </c>
      <c r="D148" s="2">
        <v>2116</v>
      </c>
      <c r="E148" s="1">
        <v>43800</v>
      </c>
      <c r="F148">
        <v>1</v>
      </c>
      <c r="G148">
        <v>12</v>
      </c>
      <c r="H148">
        <v>2019</v>
      </c>
      <c r="I148">
        <v>10580</v>
      </c>
      <c r="J148">
        <v>4232</v>
      </c>
      <c r="N148" s="1"/>
    </row>
    <row r="149" spans="1:14">
      <c r="A149">
        <v>3</v>
      </c>
      <c r="B149">
        <v>146778</v>
      </c>
      <c r="C149" t="s">
        <v>10</v>
      </c>
      <c r="D149" s="2">
        <v>2125</v>
      </c>
      <c r="E149" s="1">
        <v>43800</v>
      </c>
      <c r="F149">
        <v>1</v>
      </c>
      <c r="G149">
        <v>12</v>
      </c>
      <c r="H149">
        <v>2019</v>
      </c>
      <c r="I149">
        <v>10625</v>
      </c>
      <c r="J149">
        <v>4250</v>
      </c>
      <c r="N149" s="1"/>
    </row>
    <row r="150" spans="1:14">
      <c r="A150">
        <v>3</v>
      </c>
      <c r="B150">
        <v>887888</v>
      </c>
      <c r="C150" t="s">
        <v>10</v>
      </c>
      <c r="D150" s="2">
        <v>1946</v>
      </c>
      <c r="E150" s="1">
        <v>43800</v>
      </c>
      <c r="F150">
        <v>1</v>
      </c>
      <c r="G150">
        <v>12</v>
      </c>
      <c r="H150">
        <v>2019</v>
      </c>
      <c r="I150">
        <v>9730</v>
      </c>
      <c r="J150">
        <v>3892</v>
      </c>
      <c r="N150" s="1"/>
    </row>
    <row r="151" spans="1:14">
      <c r="A151">
        <v>4</v>
      </c>
      <c r="B151">
        <v>737790</v>
      </c>
      <c r="C151" t="s">
        <v>10</v>
      </c>
      <c r="D151" s="2">
        <v>380</v>
      </c>
      <c r="E151" s="1">
        <v>43800</v>
      </c>
      <c r="F151">
        <v>1</v>
      </c>
      <c r="G151">
        <v>12</v>
      </c>
      <c r="H151">
        <v>2019</v>
      </c>
      <c r="I151">
        <v>1900</v>
      </c>
      <c r="J151">
        <v>760</v>
      </c>
      <c r="N151" s="1"/>
    </row>
    <row r="152" spans="1:14">
      <c r="A152">
        <v>1</v>
      </c>
      <c r="B152">
        <v>830981</v>
      </c>
      <c r="C152" t="s">
        <v>11</v>
      </c>
      <c r="D152" s="2">
        <v>1100</v>
      </c>
      <c r="E152" s="1">
        <v>43800</v>
      </c>
      <c r="F152">
        <v>1</v>
      </c>
      <c r="G152">
        <v>12</v>
      </c>
      <c r="H152">
        <v>2019</v>
      </c>
      <c r="I152">
        <v>1100</v>
      </c>
      <c r="J152">
        <v>550</v>
      </c>
      <c r="N152" s="1"/>
    </row>
    <row r="153" spans="1:14">
      <c r="A153">
        <v>2</v>
      </c>
      <c r="B153">
        <v>270516</v>
      </c>
      <c r="C153" t="s">
        <v>11</v>
      </c>
      <c r="D153" s="2">
        <v>1611</v>
      </c>
      <c r="E153" s="1">
        <v>43800</v>
      </c>
      <c r="F153">
        <v>1</v>
      </c>
      <c r="G153">
        <v>12</v>
      </c>
      <c r="H153">
        <v>2019</v>
      </c>
      <c r="I153">
        <v>1611</v>
      </c>
      <c r="J153">
        <v>805.5</v>
      </c>
      <c r="N153" s="1"/>
    </row>
    <row r="154" spans="1:14">
      <c r="A154">
        <v>5</v>
      </c>
      <c r="B154">
        <v>254540</v>
      </c>
      <c r="C154" t="s">
        <v>11</v>
      </c>
      <c r="D154" s="2">
        <v>334</v>
      </c>
      <c r="E154" s="1">
        <v>43800</v>
      </c>
      <c r="F154">
        <v>1</v>
      </c>
      <c r="G154">
        <v>12</v>
      </c>
      <c r="H154">
        <v>2019</v>
      </c>
      <c r="I154">
        <v>334</v>
      </c>
      <c r="J154">
        <v>167</v>
      </c>
      <c r="N154" s="1"/>
    </row>
    <row r="155" spans="1:14">
      <c r="A155">
        <v>1</v>
      </c>
      <c r="B155">
        <v>469636</v>
      </c>
      <c r="C155" t="s">
        <v>11</v>
      </c>
      <c r="D155" s="2">
        <v>1186</v>
      </c>
      <c r="E155" s="1">
        <v>43800</v>
      </c>
      <c r="F155">
        <v>1</v>
      </c>
      <c r="G155">
        <v>12</v>
      </c>
      <c r="H155">
        <v>2019</v>
      </c>
      <c r="I155">
        <v>1186</v>
      </c>
      <c r="J155">
        <v>593</v>
      </c>
      <c r="N155" s="1"/>
    </row>
    <row r="156" spans="1:14">
      <c r="A156">
        <v>2</v>
      </c>
      <c r="B156">
        <v>733366</v>
      </c>
      <c r="C156" t="s">
        <v>12</v>
      </c>
      <c r="D156" s="2">
        <v>1778</v>
      </c>
      <c r="E156" s="1">
        <v>43800</v>
      </c>
      <c r="F156">
        <v>1</v>
      </c>
      <c r="G156">
        <v>12</v>
      </c>
      <c r="H156">
        <v>2019</v>
      </c>
      <c r="I156">
        <v>8890</v>
      </c>
      <c r="J156">
        <v>3911.6000000000004</v>
      </c>
      <c r="N156" s="1"/>
    </row>
    <row r="157" spans="1:14">
      <c r="A157">
        <v>4</v>
      </c>
      <c r="B157">
        <v>545954</v>
      </c>
      <c r="C157" t="s">
        <v>12</v>
      </c>
      <c r="D157" s="2">
        <v>1375</v>
      </c>
      <c r="E157" s="1">
        <v>43800</v>
      </c>
      <c r="F157">
        <v>1</v>
      </c>
      <c r="G157">
        <v>12</v>
      </c>
      <c r="H157">
        <v>2019</v>
      </c>
      <c r="I157">
        <v>6875</v>
      </c>
      <c r="J157">
        <v>3025.0000000000005</v>
      </c>
      <c r="N157" s="1"/>
    </row>
    <row r="158" spans="1:14">
      <c r="A158">
        <v>2</v>
      </c>
      <c r="B158">
        <v>581556</v>
      </c>
      <c r="C158" t="s">
        <v>12</v>
      </c>
      <c r="D158" s="2">
        <v>306</v>
      </c>
      <c r="E158" s="1">
        <v>43800</v>
      </c>
      <c r="F158">
        <v>1</v>
      </c>
      <c r="G158">
        <v>12</v>
      </c>
      <c r="H158">
        <v>2019</v>
      </c>
      <c r="I158">
        <v>1530</v>
      </c>
      <c r="J158">
        <v>673.2</v>
      </c>
      <c r="N158" s="1"/>
    </row>
    <row r="159" spans="1:14">
      <c r="A159">
        <v>3</v>
      </c>
      <c r="B159">
        <v>786473</v>
      </c>
      <c r="C159" t="s">
        <v>12</v>
      </c>
      <c r="D159" s="2">
        <v>1770</v>
      </c>
      <c r="E159" s="1">
        <v>43800</v>
      </c>
      <c r="F159">
        <v>1</v>
      </c>
      <c r="G159">
        <v>12</v>
      </c>
      <c r="H159">
        <v>2019</v>
      </c>
      <c r="I159">
        <v>8850</v>
      </c>
      <c r="J159">
        <v>3894.0000000000005</v>
      </c>
      <c r="N159" s="1"/>
    </row>
    <row r="160" spans="1:14">
      <c r="A160">
        <v>1</v>
      </c>
      <c r="B160">
        <v>208984</v>
      </c>
      <c r="C160" t="s">
        <v>12</v>
      </c>
      <c r="D160" s="2">
        <v>2015</v>
      </c>
      <c r="E160" s="1">
        <v>43800</v>
      </c>
      <c r="F160">
        <v>1</v>
      </c>
      <c r="G160">
        <v>12</v>
      </c>
      <c r="H160">
        <v>2019</v>
      </c>
      <c r="I160">
        <v>10075</v>
      </c>
      <c r="J160">
        <v>4433</v>
      </c>
      <c r="N160" s="1"/>
    </row>
    <row r="161" spans="1:14">
      <c r="A161">
        <v>4</v>
      </c>
      <c r="B161">
        <v>249563</v>
      </c>
      <c r="C161" t="s">
        <v>13</v>
      </c>
      <c r="D161" s="2">
        <v>908</v>
      </c>
      <c r="E161" s="1">
        <v>43800</v>
      </c>
      <c r="F161">
        <v>1</v>
      </c>
      <c r="G161">
        <v>12</v>
      </c>
      <c r="H161">
        <v>2019</v>
      </c>
      <c r="I161">
        <v>3632</v>
      </c>
      <c r="J161">
        <v>1362</v>
      </c>
      <c r="N161" s="1"/>
    </row>
    <row r="162" spans="1:14">
      <c r="A162">
        <v>3</v>
      </c>
      <c r="B162">
        <v>847678</v>
      </c>
      <c r="C162" t="s">
        <v>13</v>
      </c>
      <c r="D162" s="2">
        <v>887</v>
      </c>
      <c r="E162" s="1">
        <v>43800</v>
      </c>
      <c r="F162">
        <v>1</v>
      </c>
      <c r="G162">
        <v>12</v>
      </c>
      <c r="H162">
        <v>2019</v>
      </c>
      <c r="I162">
        <v>3548</v>
      </c>
      <c r="J162">
        <v>1330.5</v>
      </c>
      <c r="N162" s="1"/>
    </row>
    <row r="163" spans="1:14">
      <c r="A163">
        <v>3</v>
      </c>
      <c r="B163">
        <v>788517</v>
      </c>
      <c r="C163" t="s">
        <v>13</v>
      </c>
      <c r="D163" s="2">
        <v>1482</v>
      </c>
      <c r="E163" s="1">
        <v>43800</v>
      </c>
      <c r="F163">
        <v>1</v>
      </c>
      <c r="G163">
        <v>12</v>
      </c>
      <c r="H163">
        <v>2019</v>
      </c>
      <c r="I163">
        <v>5928</v>
      </c>
      <c r="J163">
        <v>2223</v>
      </c>
      <c r="N163" s="1"/>
    </row>
    <row r="164" spans="1:14">
      <c r="A164">
        <v>4</v>
      </c>
      <c r="B164">
        <v>384743</v>
      </c>
      <c r="C164" t="s">
        <v>13</v>
      </c>
      <c r="D164" s="2">
        <v>2821</v>
      </c>
      <c r="E164" s="1">
        <v>43800</v>
      </c>
      <c r="F164">
        <v>1</v>
      </c>
      <c r="G164">
        <v>12</v>
      </c>
      <c r="H164">
        <v>2019</v>
      </c>
      <c r="I164">
        <v>11284</v>
      </c>
      <c r="J164">
        <v>4231.5</v>
      </c>
      <c r="N164" s="1"/>
    </row>
    <row r="165" spans="1:14">
      <c r="A165">
        <v>5</v>
      </c>
      <c r="B165">
        <v>454417</v>
      </c>
      <c r="C165" t="s">
        <v>14</v>
      </c>
      <c r="D165" s="2">
        <v>266</v>
      </c>
      <c r="E165" s="1">
        <v>43800</v>
      </c>
      <c r="F165">
        <v>1</v>
      </c>
      <c r="G165">
        <v>12</v>
      </c>
      <c r="H165">
        <v>2019</v>
      </c>
      <c r="I165">
        <v>798</v>
      </c>
      <c r="J165">
        <v>332.5</v>
      </c>
      <c r="N165" s="1"/>
    </row>
    <row r="166" spans="1:14">
      <c r="A166">
        <v>2</v>
      </c>
      <c r="B166">
        <v>434482</v>
      </c>
      <c r="C166" t="s">
        <v>14</v>
      </c>
      <c r="D166" s="2">
        <v>1940</v>
      </c>
      <c r="E166" s="1">
        <v>43800</v>
      </c>
      <c r="F166">
        <v>1</v>
      </c>
      <c r="G166">
        <v>12</v>
      </c>
      <c r="H166">
        <v>2019</v>
      </c>
      <c r="I166">
        <v>5820</v>
      </c>
      <c r="J166">
        <v>2425</v>
      </c>
      <c r="N166" s="1"/>
    </row>
    <row r="167" spans="1:14">
      <c r="A167">
        <v>5</v>
      </c>
      <c r="B167">
        <v>562962</v>
      </c>
      <c r="C167" t="s">
        <v>14</v>
      </c>
      <c r="D167" s="2">
        <v>2436</v>
      </c>
      <c r="E167" s="1">
        <v>43800</v>
      </c>
      <c r="F167">
        <v>1</v>
      </c>
      <c r="G167">
        <v>12</v>
      </c>
      <c r="H167">
        <v>2019</v>
      </c>
      <c r="I167">
        <v>7308</v>
      </c>
      <c r="J167">
        <v>3045</v>
      </c>
      <c r="N167" s="1"/>
    </row>
    <row r="168" spans="1:14">
      <c r="A168">
        <v>3</v>
      </c>
      <c r="B168">
        <v>451947</v>
      </c>
      <c r="C168" t="s">
        <v>14</v>
      </c>
      <c r="D168" s="2">
        <v>808</v>
      </c>
      <c r="E168" s="1">
        <v>43800</v>
      </c>
      <c r="F168">
        <v>1</v>
      </c>
      <c r="G168">
        <v>12</v>
      </c>
      <c r="H168">
        <v>2019</v>
      </c>
      <c r="I168">
        <v>2424</v>
      </c>
      <c r="J168">
        <v>1010</v>
      </c>
      <c r="N168" s="1"/>
    </row>
    <row r="169" spans="1:14">
      <c r="A169">
        <v>2</v>
      </c>
      <c r="B169">
        <v>366080</v>
      </c>
      <c r="C169" t="s">
        <v>14</v>
      </c>
      <c r="D169" s="2">
        <v>1870</v>
      </c>
      <c r="E169" s="1">
        <v>43800</v>
      </c>
      <c r="F169">
        <v>1</v>
      </c>
      <c r="G169">
        <v>12</v>
      </c>
      <c r="H169">
        <v>2019</v>
      </c>
      <c r="I169">
        <v>5610</v>
      </c>
      <c r="J169">
        <v>2337.5</v>
      </c>
      <c r="N169" s="1"/>
    </row>
    <row r="170" spans="1:14">
      <c r="A170">
        <v>5</v>
      </c>
      <c r="B170">
        <v>510933</v>
      </c>
      <c r="C170" t="s">
        <v>14</v>
      </c>
      <c r="D170" s="2">
        <v>1281</v>
      </c>
      <c r="E170" s="1">
        <v>43800</v>
      </c>
      <c r="F170">
        <v>1</v>
      </c>
      <c r="G170">
        <v>12</v>
      </c>
      <c r="H170">
        <v>2019</v>
      </c>
      <c r="I170">
        <v>3843</v>
      </c>
      <c r="J170">
        <v>1601.25</v>
      </c>
      <c r="N170" s="1"/>
    </row>
    <row r="171" spans="1:14">
      <c r="A171">
        <v>5</v>
      </c>
      <c r="B171">
        <v>214845</v>
      </c>
      <c r="C171" t="s">
        <v>15</v>
      </c>
      <c r="D171" s="2">
        <v>544</v>
      </c>
      <c r="E171" s="1">
        <v>43800</v>
      </c>
      <c r="F171">
        <v>1</v>
      </c>
      <c r="G171">
        <v>12</v>
      </c>
      <c r="H171">
        <v>2019</v>
      </c>
      <c r="I171">
        <v>3264</v>
      </c>
      <c r="J171">
        <v>1496</v>
      </c>
      <c r="N171" s="1"/>
    </row>
    <row r="172" spans="1:14">
      <c r="A172">
        <v>4</v>
      </c>
      <c r="B172">
        <v>234670</v>
      </c>
      <c r="C172" t="s">
        <v>15</v>
      </c>
      <c r="D172" s="2">
        <v>1033</v>
      </c>
      <c r="E172" s="1">
        <v>43800</v>
      </c>
      <c r="F172">
        <v>1</v>
      </c>
      <c r="G172">
        <v>12</v>
      </c>
      <c r="H172">
        <v>2019</v>
      </c>
      <c r="I172">
        <v>6198</v>
      </c>
      <c r="J172">
        <v>2840.75</v>
      </c>
      <c r="N172" s="1"/>
    </row>
    <row r="173" spans="1:14">
      <c r="A173">
        <v>2</v>
      </c>
      <c r="B173">
        <v>562718</v>
      </c>
      <c r="C173" t="s">
        <v>15</v>
      </c>
      <c r="D173" s="2">
        <v>1421</v>
      </c>
      <c r="E173" s="1">
        <v>43800</v>
      </c>
      <c r="F173">
        <v>1</v>
      </c>
      <c r="G173">
        <v>12</v>
      </c>
      <c r="H173">
        <v>2019</v>
      </c>
      <c r="I173">
        <v>8526</v>
      </c>
      <c r="J173">
        <v>3907.75</v>
      </c>
      <c r="N173" s="1"/>
    </row>
    <row r="174" spans="1:14">
      <c r="A174">
        <v>3</v>
      </c>
      <c r="B174">
        <v>629523</v>
      </c>
      <c r="C174" t="s">
        <v>15</v>
      </c>
      <c r="D174" s="2">
        <v>588</v>
      </c>
      <c r="E174" s="1">
        <v>43800</v>
      </c>
      <c r="F174">
        <v>1</v>
      </c>
      <c r="G174">
        <v>12</v>
      </c>
      <c r="H174">
        <v>2019</v>
      </c>
      <c r="I174">
        <v>3528</v>
      </c>
      <c r="J174">
        <v>1617</v>
      </c>
      <c r="N174" s="1"/>
    </row>
    <row r="175" spans="1:14">
      <c r="A175">
        <v>2</v>
      </c>
      <c r="B175">
        <v>482625</v>
      </c>
      <c r="C175" t="s">
        <v>15</v>
      </c>
      <c r="D175" s="2">
        <v>1916</v>
      </c>
      <c r="E175" s="1">
        <v>43800</v>
      </c>
      <c r="F175">
        <v>1</v>
      </c>
      <c r="G175">
        <v>12</v>
      </c>
      <c r="H175">
        <v>2019</v>
      </c>
      <c r="I175">
        <v>11496</v>
      </c>
      <c r="J175">
        <v>5269</v>
      </c>
      <c r="N175" s="1"/>
    </row>
    <row r="176" spans="1:14">
      <c r="A176">
        <v>4</v>
      </c>
      <c r="B176">
        <v>727940</v>
      </c>
      <c r="C176" t="s">
        <v>15</v>
      </c>
      <c r="D176" s="2">
        <v>2438</v>
      </c>
      <c r="E176" s="1">
        <v>43800</v>
      </c>
      <c r="F176">
        <v>1</v>
      </c>
      <c r="G176">
        <v>12</v>
      </c>
      <c r="H176">
        <v>2019</v>
      </c>
      <c r="I176">
        <v>14628</v>
      </c>
      <c r="J176">
        <v>6704.5</v>
      </c>
      <c r="N176" s="1"/>
    </row>
    <row r="177" spans="1:14">
      <c r="A177">
        <v>4</v>
      </c>
      <c r="B177">
        <v>361305</v>
      </c>
      <c r="C177" t="s">
        <v>10</v>
      </c>
      <c r="D177" s="2">
        <v>3945</v>
      </c>
      <c r="E177" s="1">
        <v>43831</v>
      </c>
      <c r="F177">
        <v>1</v>
      </c>
      <c r="G177">
        <v>1</v>
      </c>
      <c r="H177">
        <v>2020</v>
      </c>
      <c r="I177">
        <v>19725</v>
      </c>
      <c r="J177">
        <v>7890</v>
      </c>
      <c r="N177" s="1"/>
    </row>
    <row r="178" spans="1:14">
      <c r="A178">
        <v>2</v>
      </c>
      <c r="B178">
        <v>859158</v>
      </c>
      <c r="C178" t="s">
        <v>10</v>
      </c>
      <c r="D178" s="2">
        <v>2434.5</v>
      </c>
      <c r="E178" s="1">
        <v>43831</v>
      </c>
      <c r="F178">
        <v>1</v>
      </c>
      <c r="G178">
        <v>1</v>
      </c>
      <c r="H178">
        <v>2020</v>
      </c>
      <c r="I178">
        <v>12172.5</v>
      </c>
      <c r="J178">
        <v>4869</v>
      </c>
      <c r="N178" s="1"/>
    </row>
    <row r="179" spans="1:14">
      <c r="A179">
        <v>3</v>
      </c>
      <c r="B179">
        <v>239419</v>
      </c>
      <c r="C179" t="s">
        <v>10</v>
      </c>
      <c r="D179" s="2">
        <v>4251</v>
      </c>
      <c r="E179" s="1">
        <v>43831</v>
      </c>
      <c r="F179">
        <v>1</v>
      </c>
      <c r="G179">
        <v>1</v>
      </c>
      <c r="H179">
        <v>2020</v>
      </c>
      <c r="I179">
        <v>21255</v>
      </c>
      <c r="J179">
        <v>8502</v>
      </c>
      <c r="N179" s="1"/>
    </row>
    <row r="180" spans="1:14">
      <c r="A180">
        <v>1</v>
      </c>
      <c r="B180">
        <v>631270</v>
      </c>
      <c r="C180" t="s">
        <v>10</v>
      </c>
      <c r="D180" s="2">
        <v>1372</v>
      </c>
      <c r="E180" s="1">
        <v>43831</v>
      </c>
      <c r="F180">
        <v>1</v>
      </c>
      <c r="G180">
        <v>1</v>
      </c>
      <c r="H180">
        <v>2020</v>
      </c>
      <c r="I180">
        <v>6860</v>
      </c>
      <c r="J180">
        <v>2744</v>
      </c>
      <c r="N180" s="1"/>
    </row>
    <row r="181" spans="1:14">
      <c r="A181">
        <v>2</v>
      </c>
      <c r="B181">
        <v>334678</v>
      </c>
      <c r="C181" t="s">
        <v>10</v>
      </c>
      <c r="D181" s="2">
        <v>2565</v>
      </c>
      <c r="E181" s="1">
        <v>43831</v>
      </c>
      <c r="F181">
        <v>1</v>
      </c>
      <c r="G181">
        <v>1</v>
      </c>
      <c r="H181">
        <v>2020</v>
      </c>
      <c r="I181">
        <v>12825</v>
      </c>
      <c r="J181">
        <v>5130</v>
      </c>
      <c r="N181" s="1"/>
    </row>
    <row r="182" spans="1:14">
      <c r="A182">
        <v>5</v>
      </c>
      <c r="B182">
        <v>527753</v>
      </c>
      <c r="C182" t="s">
        <v>10</v>
      </c>
      <c r="D182" s="2">
        <v>2417</v>
      </c>
      <c r="E182" s="1">
        <v>43831</v>
      </c>
      <c r="F182">
        <v>1</v>
      </c>
      <c r="G182">
        <v>1</v>
      </c>
      <c r="H182">
        <v>2020</v>
      </c>
      <c r="I182">
        <v>12085</v>
      </c>
      <c r="J182">
        <v>4834</v>
      </c>
      <c r="N182" s="1"/>
    </row>
    <row r="183" spans="1:14">
      <c r="A183">
        <v>3</v>
      </c>
      <c r="B183">
        <v>103317</v>
      </c>
      <c r="C183" t="s">
        <v>10</v>
      </c>
      <c r="D183" s="2">
        <v>873</v>
      </c>
      <c r="E183" s="1">
        <v>43831</v>
      </c>
      <c r="F183">
        <v>1</v>
      </c>
      <c r="G183">
        <v>1</v>
      </c>
      <c r="H183">
        <v>2020</v>
      </c>
      <c r="I183">
        <v>4365</v>
      </c>
      <c r="J183">
        <v>1746</v>
      </c>
      <c r="N183" s="1"/>
    </row>
    <row r="184" spans="1:14">
      <c r="A184">
        <v>2</v>
      </c>
      <c r="B184">
        <v>628402</v>
      </c>
      <c r="C184" t="s">
        <v>10</v>
      </c>
      <c r="D184" s="2">
        <v>3495</v>
      </c>
      <c r="E184" s="1">
        <v>43831</v>
      </c>
      <c r="F184">
        <v>1</v>
      </c>
      <c r="G184">
        <v>1</v>
      </c>
      <c r="H184">
        <v>2020</v>
      </c>
      <c r="I184">
        <v>17475</v>
      </c>
      <c r="J184">
        <v>6990</v>
      </c>
      <c r="N184" s="1"/>
    </row>
    <row r="185" spans="1:14">
      <c r="A185">
        <v>3</v>
      </c>
      <c r="B185">
        <v>710711</v>
      </c>
      <c r="C185" t="s">
        <v>10</v>
      </c>
      <c r="D185" s="2">
        <v>1438.5</v>
      </c>
      <c r="E185" s="1">
        <v>43831</v>
      </c>
      <c r="F185">
        <v>1</v>
      </c>
      <c r="G185">
        <v>1</v>
      </c>
      <c r="H185">
        <v>2020</v>
      </c>
      <c r="I185">
        <v>7192.5</v>
      </c>
      <c r="J185">
        <v>2877</v>
      </c>
      <c r="N185" s="1"/>
    </row>
    <row r="186" spans="1:14">
      <c r="A186">
        <v>5</v>
      </c>
      <c r="B186">
        <v>608863</v>
      </c>
      <c r="C186" t="s">
        <v>10</v>
      </c>
      <c r="D186" s="2">
        <v>807</v>
      </c>
      <c r="E186" s="1">
        <v>43831</v>
      </c>
      <c r="F186">
        <v>1</v>
      </c>
      <c r="G186">
        <v>1</v>
      </c>
      <c r="H186">
        <v>2020</v>
      </c>
      <c r="I186">
        <v>4035</v>
      </c>
      <c r="J186">
        <v>1614</v>
      </c>
      <c r="N186" s="1"/>
    </row>
    <row r="187" spans="1:14">
      <c r="A187">
        <v>3</v>
      </c>
      <c r="B187">
        <v>779079</v>
      </c>
      <c r="C187" t="s">
        <v>11</v>
      </c>
      <c r="D187" s="2">
        <v>1384.5</v>
      </c>
      <c r="E187" s="1">
        <v>43831</v>
      </c>
      <c r="F187">
        <v>1</v>
      </c>
      <c r="G187">
        <v>1</v>
      </c>
      <c r="H187">
        <v>2020</v>
      </c>
      <c r="I187">
        <v>1384.5</v>
      </c>
      <c r="J187">
        <v>692.25</v>
      </c>
      <c r="N187" s="1"/>
    </row>
    <row r="188" spans="1:14">
      <c r="A188">
        <v>2</v>
      </c>
      <c r="B188">
        <v>336365</v>
      </c>
      <c r="C188" t="s">
        <v>11</v>
      </c>
      <c r="D188" s="2">
        <v>2340</v>
      </c>
      <c r="E188" s="1">
        <v>43831</v>
      </c>
      <c r="F188">
        <v>1</v>
      </c>
      <c r="G188">
        <v>1</v>
      </c>
      <c r="H188">
        <v>2020</v>
      </c>
      <c r="I188">
        <v>2340</v>
      </c>
      <c r="J188">
        <v>1170</v>
      </c>
      <c r="N188" s="1"/>
    </row>
    <row r="189" spans="1:14">
      <c r="A189">
        <v>5</v>
      </c>
      <c r="B189">
        <v>121208</v>
      </c>
      <c r="C189" t="s">
        <v>11</v>
      </c>
      <c r="D189" s="2">
        <v>766</v>
      </c>
      <c r="E189" s="1">
        <v>43831</v>
      </c>
      <c r="F189">
        <v>1</v>
      </c>
      <c r="G189">
        <v>1</v>
      </c>
      <c r="H189">
        <v>2020</v>
      </c>
      <c r="I189">
        <v>766</v>
      </c>
      <c r="J189">
        <v>383</v>
      </c>
      <c r="N189" s="1"/>
    </row>
    <row r="190" spans="1:14">
      <c r="A190">
        <v>1</v>
      </c>
      <c r="B190">
        <v>348844</v>
      </c>
      <c r="C190" t="s">
        <v>11</v>
      </c>
      <c r="D190" s="2">
        <v>982.5</v>
      </c>
      <c r="E190" s="1">
        <v>43831</v>
      </c>
      <c r="F190">
        <v>1</v>
      </c>
      <c r="G190">
        <v>1</v>
      </c>
      <c r="H190">
        <v>2020</v>
      </c>
      <c r="I190">
        <v>982.5</v>
      </c>
      <c r="J190">
        <v>491.25</v>
      </c>
      <c r="N190" s="1"/>
    </row>
    <row r="191" spans="1:14">
      <c r="A191">
        <v>5</v>
      </c>
      <c r="B191">
        <v>529423</v>
      </c>
      <c r="C191" t="s">
        <v>11</v>
      </c>
      <c r="D191" s="2">
        <v>2227.5</v>
      </c>
      <c r="E191" s="1">
        <v>43831</v>
      </c>
      <c r="F191">
        <v>1</v>
      </c>
      <c r="G191">
        <v>1</v>
      </c>
      <c r="H191">
        <v>2020</v>
      </c>
      <c r="I191">
        <v>2227.5</v>
      </c>
      <c r="J191">
        <v>1113.75</v>
      </c>
      <c r="N191" s="1"/>
    </row>
    <row r="192" spans="1:14">
      <c r="A192">
        <v>4</v>
      </c>
      <c r="B192">
        <v>131249</v>
      </c>
      <c r="C192" t="s">
        <v>12</v>
      </c>
      <c r="D192" s="2">
        <v>1987.5</v>
      </c>
      <c r="E192" s="1">
        <v>43831</v>
      </c>
      <c r="F192">
        <v>1</v>
      </c>
      <c r="G192">
        <v>1</v>
      </c>
      <c r="H192">
        <v>2020</v>
      </c>
      <c r="I192">
        <v>9937.5</v>
      </c>
      <c r="J192">
        <v>4372.5</v>
      </c>
      <c r="N192" s="1"/>
    </row>
    <row r="193" spans="1:14">
      <c r="A193">
        <v>4</v>
      </c>
      <c r="B193">
        <v>884057</v>
      </c>
      <c r="C193" t="s">
        <v>12</v>
      </c>
      <c r="D193" s="2">
        <v>579</v>
      </c>
      <c r="E193" s="1">
        <v>43831</v>
      </c>
      <c r="F193">
        <v>1</v>
      </c>
      <c r="G193">
        <v>1</v>
      </c>
      <c r="H193">
        <v>2020</v>
      </c>
      <c r="I193">
        <v>2895</v>
      </c>
      <c r="J193">
        <v>1273.8000000000002</v>
      </c>
      <c r="N193" s="1"/>
    </row>
    <row r="194" spans="1:14">
      <c r="A194">
        <v>3</v>
      </c>
      <c r="B194">
        <v>382237</v>
      </c>
      <c r="C194" t="s">
        <v>12</v>
      </c>
      <c r="D194" s="2">
        <v>3165</v>
      </c>
      <c r="E194" s="1">
        <v>43831</v>
      </c>
      <c r="F194">
        <v>1</v>
      </c>
      <c r="G194">
        <v>1</v>
      </c>
      <c r="H194">
        <v>2020</v>
      </c>
      <c r="I194">
        <v>15825</v>
      </c>
      <c r="J194">
        <v>6963.0000000000009</v>
      </c>
      <c r="N194" s="1"/>
    </row>
    <row r="195" spans="1:14">
      <c r="A195">
        <v>4</v>
      </c>
      <c r="B195">
        <v>424398</v>
      </c>
      <c r="C195" t="s">
        <v>12</v>
      </c>
      <c r="D195" s="2">
        <v>2629</v>
      </c>
      <c r="E195" s="1">
        <v>43831</v>
      </c>
      <c r="F195">
        <v>1</v>
      </c>
      <c r="G195">
        <v>1</v>
      </c>
      <c r="H195">
        <v>2020</v>
      </c>
      <c r="I195">
        <v>13145</v>
      </c>
      <c r="J195">
        <v>5783.8</v>
      </c>
      <c r="N195" s="1"/>
    </row>
    <row r="196" spans="1:14">
      <c r="A196">
        <v>1</v>
      </c>
      <c r="B196">
        <v>665489</v>
      </c>
      <c r="C196" t="s">
        <v>12</v>
      </c>
      <c r="D196" s="2">
        <v>1659</v>
      </c>
      <c r="E196" s="1">
        <v>43831</v>
      </c>
      <c r="F196">
        <v>1</v>
      </c>
      <c r="G196">
        <v>1</v>
      </c>
      <c r="H196">
        <v>2020</v>
      </c>
      <c r="I196">
        <v>8295</v>
      </c>
      <c r="J196">
        <v>3649.8</v>
      </c>
      <c r="N196" s="1"/>
    </row>
    <row r="197" spans="1:14">
      <c r="A197">
        <v>1</v>
      </c>
      <c r="B197">
        <v>194906</v>
      </c>
      <c r="C197" t="s">
        <v>13</v>
      </c>
      <c r="D197" s="2">
        <v>1618.5</v>
      </c>
      <c r="E197" s="1">
        <v>43831</v>
      </c>
      <c r="F197">
        <v>1</v>
      </c>
      <c r="G197">
        <v>1</v>
      </c>
      <c r="H197">
        <v>2020</v>
      </c>
      <c r="I197">
        <v>6474</v>
      </c>
      <c r="J197">
        <v>2427.75</v>
      </c>
      <c r="N197" s="1"/>
    </row>
    <row r="198" spans="1:14">
      <c r="A198">
        <v>4</v>
      </c>
      <c r="B198">
        <v>858867</v>
      </c>
      <c r="C198" t="s">
        <v>13</v>
      </c>
      <c r="D198" s="2">
        <v>1321</v>
      </c>
      <c r="E198" s="1">
        <v>43831</v>
      </c>
      <c r="F198">
        <v>1</v>
      </c>
      <c r="G198">
        <v>1</v>
      </c>
      <c r="H198">
        <v>2020</v>
      </c>
      <c r="I198">
        <v>5284</v>
      </c>
      <c r="J198">
        <v>1981.5</v>
      </c>
      <c r="N198" s="1"/>
    </row>
    <row r="199" spans="1:14">
      <c r="A199">
        <v>4</v>
      </c>
      <c r="B199">
        <v>137994</v>
      </c>
      <c r="C199" t="s">
        <v>13</v>
      </c>
      <c r="D199" s="2">
        <v>1117.5</v>
      </c>
      <c r="E199" s="1">
        <v>43831</v>
      </c>
      <c r="F199">
        <v>1</v>
      </c>
      <c r="G199">
        <v>1</v>
      </c>
      <c r="H199">
        <v>2020</v>
      </c>
      <c r="I199">
        <v>4470</v>
      </c>
      <c r="J199">
        <v>1676.25</v>
      </c>
      <c r="N199" s="1"/>
    </row>
    <row r="200" spans="1:14">
      <c r="A200">
        <v>3</v>
      </c>
      <c r="B200">
        <v>728960</v>
      </c>
      <c r="C200" t="s">
        <v>13</v>
      </c>
      <c r="D200" s="2">
        <v>2521.5</v>
      </c>
      <c r="E200" s="1">
        <v>43831</v>
      </c>
      <c r="F200">
        <v>1</v>
      </c>
      <c r="G200">
        <v>1</v>
      </c>
      <c r="H200">
        <v>2020</v>
      </c>
      <c r="I200">
        <v>10086</v>
      </c>
      <c r="J200">
        <v>3782.25</v>
      </c>
      <c r="N200" s="1"/>
    </row>
    <row r="201" spans="1:14">
      <c r="A201">
        <v>2</v>
      </c>
      <c r="B201">
        <v>444395</v>
      </c>
      <c r="C201" t="s">
        <v>14</v>
      </c>
      <c r="D201" s="2">
        <v>2479</v>
      </c>
      <c r="E201" s="1">
        <v>43831</v>
      </c>
      <c r="F201">
        <v>1</v>
      </c>
      <c r="G201">
        <v>1</v>
      </c>
      <c r="H201">
        <v>2020</v>
      </c>
      <c r="I201">
        <v>7437</v>
      </c>
      <c r="J201">
        <v>3098.75</v>
      </c>
      <c r="N201" s="1"/>
    </row>
    <row r="202" spans="1:14">
      <c r="A202">
        <v>5</v>
      </c>
      <c r="B202">
        <v>617395</v>
      </c>
      <c r="C202" t="s">
        <v>14</v>
      </c>
      <c r="D202" s="2">
        <v>3244.5</v>
      </c>
      <c r="E202" s="1">
        <v>43831</v>
      </c>
      <c r="F202">
        <v>1</v>
      </c>
      <c r="G202">
        <v>1</v>
      </c>
      <c r="H202">
        <v>2020</v>
      </c>
      <c r="I202">
        <v>9733.5</v>
      </c>
      <c r="J202">
        <v>4055.625</v>
      </c>
      <c r="N202" s="1"/>
    </row>
    <row r="203" spans="1:14">
      <c r="A203">
        <v>2</v>
      </c>
      <c r="B203">
        <v>462436</v>
      </c>
      <c r="C203" t="s">
        <v>14</v>
      </c>
      <c r="D203" s="2">
        <v>1956</v>
      </c>
      <c r="E203" s="1">
        <v>43831</v>
      </c>
      <c r="F203">
        <v>1</v>
      </c>
      <c r="G203">
        <v>1</v>
      </c>
      <c r="H203">
        <v>2020</v>
      </c>
      <c r="I203">
        <v>5868</v>
      </c>
      <c r="J203">
        <v>2445</v>
      </c>
      <c r="N203" s="1"/>
    </row>
    <row r="204" spans="1:14">
      <c r="A204">
        <v>2</v>
      </c>
      <c r="B204">
        <v>153144</v>
      </c>
      <c r="C204" t="s">
        <v>14</v>
      </c>
      <c r="D204" s="2">
        <v>1734</v>
      </c>
      <c r="E204" s="1">
        <v>43831</v>
      </c>
      <c r="F204">
        <v>1</v>
      </c>
      <c r="G204">
        <v>1</v>
      </c>
      <c r="H204">
        <v>2020</v>
      </c>
      <c r="I204">
        <v>5202</v>
      </c>
      <c r="J204">
        <v>2167.5</v>
      </c>
      <c r="N204" s="1"/>
    </row>
    <row r="205" spans="1:14">
      <c r="A205">
        <v>3</v>
      </c>
      <c r="B205">
        <v>878522</v>
      </c>
      <c r="C205" t="s">
        <v>14</v>
      </c>
      <c r="D205" s="2">
        <v>554</v>
      </c>
      <c r="E205" s="1">
        <v>43831</v>
      </c>
      <c r="F205">
        <v>1</v>
      </c>
      <c r="G205">
        <v>1</v>
      </c>
      <c r="H205">
        <v>2020</v>
      </c>
      <c r="I205">
        <v>1662</v>
      </c>
      <c r="J205">
        <v>692.5</v>
      </c>
      <c r="N205" s="1"/>
    </row>
    <row r="206" spans="1:14">
      <c r="A206">
        <v>2</v>
      </c>
      <c r="B206">
        <v>616386</v>
      </c>
      <c r="C206" t="s">
        <v>15</v>
      </c>
      <c r="D206" s="2">
        <v>1493</v>
      </c>
      <c r="E206" s="1">
        <v>43831</v>
      </c>
      <c r="F206">
        <v>1</v>
      </c>
      <c r="G206">
        <v>1</v>
      </c>
      <c r="H206">
        <v>2020</v>
      </c>
      <c r="I206">
        <v>8958</v>
      </c>
      <c r="J206">
        <v>4105.75</v>
      </c>
      <c r="N206" s="1"/>
    </row>
    <row r="207" spans="1:14">
      <c r="A207">
        <v>1</v>
      </c>
      <c r="B207">
        <v>197116</v>
      </c>
      <c r="C207" t="s">
        <v>15</v>
      </c>
      <c r="D207" s="2">
        <v>555</v>
      </c>
      <c r="E207" s="1">
        <v>43831</v>
      </c>
      <c r="F207">
        <v>1</v>
      </c>
      <c r="G207">
        <v>1</v>
      </c>
      <c r="H207">
        <v>2020</v>
      </c>
      <c r="I207">
        <v>3330</v>
      </c>
      <c r="J207">
        <v>1526.25</v>
      </c>
      <c r="N207" s="1"/>
    </row>
    <row r="208" spans="1:14">
      <c r="A208">
        <v>5</v>
      </c>
      <c r="B208">
        <v>165918</v>
      </c>
      <c r="C208" t="s">
        <v>15</v>
      </c>
      <c r="D208" s="2">
        <v>2861</v>
      </c>
      <c r="E208" s="1">
        <v>43831</v>
      </c>
      <c r="F208">
        <v>1</v>
      </c>
      <c r="G208">
        <v>1</v>
      </c>
      <c r="H208">
        <v>2020</v>
      </c>
      <c r="I208">
        <v>17166</v>
      </c>
      <c r="J208">
        <v>7867.75</v>
      </c>
      <c r="N208" s="1"/>
    </row>
    <row r="209" spans="1:14">
      <c r="A209">
        <v>1</v>
      </c>
      <c r="B209">
        <v>311475</v>
      </c>
      <c r="C209" t="s">
        <v>15</v>
      </c>
      <c r="D209" s="2">
        <v>681</v>
      </c>
      <c r="E209" s="1">
        <v>43831</v>
      </c>
      <c r="F209">
        <v>1</v>
      </c>
      <c r="G209">
        <v>1</v>
      </c>
      <c r="H209">
        <v>2020</v>
      </c>
      <c r="I209">
        <v>4086</v>
      </c>
      <c r="J209">
        <v>1872.75</v>
      </c>
      <c r="N209" s="1"/>
    </row>
    <row r="210" spans="1:14">
      <c r="A210">
        <v>3</v>
      </c>
      <c r="B210">
        <v>120418</v>
      </c>
      <c r="C210" t="s">
        <v>15</v>
      </c>
      <c r="D210" s="2">
        <v>384</v>
      </c>
      <c r="E210" s="1">
        <v>43831</v>
      </c>
      <c r="F210">
        <v>1</v>
      </c>
      <c r="G210">
        <v>1</v>
      </c>
      <c r="H210">
        <v>2020</v>
      </c>
      <c r="I210">
        <v>2304</v>
      </c>
      <c r="J210">
        <v>1056</v>
      </c>
      <c r="N210" s="1"/>
    </row>
    <row r="211" spans="1:14">
      <c r="A211">
        <v>3</v>
      </c>
      <c r="B211">
        <v>397386</v>
      </c>
      <c r="C211" t="s">
        <v>15</v>
      </c>
      <c r="D211" s="2">
        <v>3997.5</v>
      </c>
      <c r="E211" s="1">
        <v>43831</v>
      </c>
      <c r="F211">
        <v>1</v>
      </c>
      <c r="G211">
        <v>1</v>
      </c>
      <c r="H211">
        <v>2020</v>
      </c>
      <c r="I211">
        <v>23985</v>
      </c>
      <c r="J211">
        <v>10993.125</v>
      </c>
      <c r="N211" s="1"/>
    </row>
    <row r="212" spans="1:14">
      <c r="A212">
        <v>3</v>
      </c>
      <c r="B212">
        <v>266868</v>
      </c>
      <c r="C212" t="s">
        <v>10</v>
      </c>
      <c r="D212" s="2">
        <v>292</v>
      </c>
      <c r="E212" s="1">
        <v>43862</v>
      </c>
      <c r="F212">
        <v>1</v>
      </c>
      <c r="G212">
        <v>2</v>
      </c>
      <c r="H212">
        <v>2020</v>
      </c>
      <c r="I212">
        <v>1460</v>
      </c>
      <c r="J212">
        <v>584</v>
      </c>
      <c r="N212" s="1"/>
    </row>
    <row r="213" spans="1:14">
      <c r="A213">
        <v>3</v>
      </c>
      <c r="B213">
        <v>140794</v>
      </c>
      <c r="C213" t="s">
        <v>10</v>
      </c>
      <c r="D213" s="2">
        <v>974</v>
      </c>
      <c r="E213" s="1">
        <v>43862</v>
      </c>
      <c r="F213">
        <v>1</v>
      </c>
      <c r="G213">
        <v>2</v>
      </c>
      <c r="H213">
        <v>2020</v>
      </c>
      <c r="I213">
        <v>4870</v>
      </c>
      <c r="J213">
        <v>1948</v>
      </c>
      <c r="N213" s="1"/>
    </row>
    <row r="214" spans="1:14">
      <c r="A214">
        <v>4</v>
      </c>
      <c r="B214">
        <v>579016</v>
      </c>
      <c r="C214" t="s">
        <v>10</v>
      </c>
      <c r="D214" s="2">
        <v>2296</v>
      </c>
      <c r="E214" s="1">
        <v>43862</v>
      </c>
      <c r="F214">
        <v>1</v>
      </c>
      <c r="G214">
        <v>2</v>
      </c>
      <c r="H214">
        <v>2020</v>
      </c>
      <c r="I214">
        <v>11480</v>
      </c>
      <c r="J214">
        <v>4592</v>
      </c>
      <c r="N214" s="1"/>
    </row>
    <row r="215" spans="1:14">
      <c r="A215">
        <v>3</v>
      </c>
      <c r="B215">
        <v>562219</v>
      </c>
      <c r="C215" t="s">
        <v>10</v>
      </c>
      <c r="D215" s="2">
        <v>1514</v>
      </c>
      <c r="E215" s="1">
        <v>43862</v>
      </c>
      <c r="F215">
        <v>1</v>
      </c>
      <c r="G215">
        <v>2</v>
      </c>
      <c r="H215">
        <v>2020</v>
      </c>
      <c r="I215">
        <v>7570</v>
      </c>
      <c r="J215">
        <v>3028</v>
      </c>
      <c r="N215" s="1"/>
    </row>
    <row r="216" spans="1:14">
      <c r="A216">
        <v>4</v>
      </c>
      <c r="B216">
        <v>550816</v>
      </c>
      <c r="C216" t="s">
        <v>10</v>
      </c>
      <c r="D216" s="2">
        <v>2363</v>
      </c>
      <c r="E216" s="1">
        <v>43862</v>
      </c>
      <c r="F216">
        <v>1</v>
      </c>
      <c r="G216">
        <v>2</v>
      </c>
      <c r="H216">
        <v>2020</v>
      </c>
      <c r="I216">
        <v>11815</v>
      </c>
      <c r="J216">
        <v>4726</v>
      </c>
      <c r="N216" s="1"/>
    </row>
    <row r="217" spans="1:14">
      <c r="A217">
        <v>5</v>
      </c>
      <c r="B217">
        <v>833644</v>
      </c>
      <c r="C217" t="s">
        <v>10</v>
      </c>
      <c r="D217" s="2">
        <v>1303</v>
      </c>
      <c r="E217" s="1">
        <v>43862</v>
      </c>
      <c r="F217">
        <v>1</v>
      </c>
      <c r="G217">
        <v>2</v>
      </c>
      <c r="H217">
        <v>2020</v>
      </c>
      <c r="I217">
        <v>6515</v>
      </c>
      <c r="J217">
        <v>2606</v>
      </c>
      <c r="N217" s="1"/>
    </row>
    <row r="218" spans="1:14">
      <c r="A218">
        <v>3</v>
      </c>
      <c r="B218">
        <v>388978</v>
      </c>
      <c r="C218" t="s">
        <v>10</v>
      </c>
      <c r="D218" s="2">
        <v>2641</v>
      </c>
      <c r="E218" s="1">
        <v>43862</v>
      </c>
      <c r="F218">
        <v>1</v>
      </c>
      <c r="G218">
        <v>2</v>
      </c>
      <c r="H218">
        <v>2020</v>
      </c>
      <c r="I218">
        <v>13205</v>
      </c>
      <c r="J218">
        <v>5282</v>
      </c>
      <c r="N218" s="1"/>
    </row>
    <row r="219" spans="1:14">
      <c r="A219">
        <v>2</v>
      </c>
      <c r="B219">
        <v>209116</v>
      </c>
      <c r="C219" t="s">
        <v>10</v>
      </c>
      <c r="D219" s="2">
        <v>2708</v>
      </c>
      <c r="E219" s="1">
        <v>43862</v>
      </c>
      <c r="F219">
        <v>1</v>
      </c>
      <c r="G219">
        <v>2</v>
      </c>
      <c r="H219">
        <v>2020</v>
      </c>
      <c r="I219">
        <v>13540</v>
      </c>
      <c r="J219">
        <v>5416</v>
      </c>
      <c r="N219" s="1"/>
    </row>
    <row r="220" spans="1:14">
      <c r="A220">
        <v>3</v>
      </c>
      <c r="B220">
        <v>217341</v>
      </c>
      <c r="C220" t="s">
        <v>10</v>
      </c>
      <c r="D220" s="2">
        <v>278</v>
      </c>
      <c r="E220" s="1">
        <v>43862</v>
      </c>
      <c r="F220">
        <v>1</v>
      </c>
      <c r="G220">
        <v>2</v>
      </c>
      <c r="H220">
        <v>2020</v>
      </c>
      <c r="I220">
        <v>1390</v>
      </c>
      <c r="J220">
        <v>556</v>
      </c>
      <c r="N220" s="1"/>
    </row>
    <row r="221" spans="1:14">
      <c r="A221">
        <v>3</v>
      </c>
      <c r="B221">
        <v>358353</v>
      </c>
      <c r="C221" t="s">
        <v>10</v>
      </c>
      <c r="D221" s="2">
        <v>260</v>
      </c>
      <c r="E221" s="1">
        <v>43862</v>
      </c>
      <c r="F221">
        <v>1</v>
      </c>
      <c r="G221">
        <v>2</v>
      </c>
      <c r="H221">
        <v>2020</v>
      </c>
      <c r="I221">
        <v>1300</v>
      </c>
      <c r="J221">
        <v>520</v>
      </c>
      <c r="N221" s="1"/>
    </row>
    <row r="222" spans="1:14">
      <c r="A222">
        <v>5</v>
      </c>
      <c r="B222">
        <v>570270</v>
      </c>
      <c r="C222" t="s">
        <v>11</v>
      </c>
      <c r="D222" s="2">
        <v>1958</v>
      </c>
      <c r="E222" s="1">
        <v>43862</v>
      </c>
      <c r="F222">
        <v>1</v>
      </c>
      <c r="G222">
        <v>2</v>
      </c>
      <c r="H222">
        <v>2020</v>
      </c>
      <c r="I222">
        <v>1958</v>
      </c>
      <c r="J222">
        <v>979</v>
      </c>
      <c r="N222" s="1"/>
    </row>
    <row r="223" spans="1:14">
      <c r="A223">
        <v>5</v>
      </c>
      <c r="B223">
        <v>119754</v>
      </c>
      <c r="C223" t="s">
        <v>11</v>
      </c>
      <c r="D223" s="2">
        <v>488</v>
      </c>
      <c r="E223" s="1">
        <v>43862</v>
      </c>
      <c r="F223">
        <v>1</v>
      </c>
      <c r="G223">
        <v>2</v>
      </c>
      <c r="H223">
        <v>2020</v>
      </c>
      <c r="I223">
        <v>488</v>
      </c>
      <c r="J223">
        <v>244</v>
      </c>
      <c r="N223" s="1"/>
    </row>
    <row r="224" spans="1:14">
      <c r="A224">
        <v>2</v>
      </c>
      <c r="B224">
        <v>541297</v>
      </c>
      <c r="C224" t="s">
        <v>11</v>
      </c>
      <c r="D224" s="2">
        <v>1298</v>
      </c>
      <c r="E224" s="1">
        <v>43862</v>
      </c>
      <c r="F224">
        <v>1</v>
      </c>
      <c r="G224">
        <v>2</v>
      </c>
      <c r="H224">
        <v>2020</v>
      </c>
      <c r="I224">
        <v>1298</v>
      </c>
      <c r="J224">
        <v>649</v>
      </c>
      <c r="N224" s="1"/>
    </row>
    <row r="225" spans="1:14">
      <c r="A225">
        <v>4</v>
      </c>
      <c r="B225">
        <v>715966</v>
      </c>
      <c r="C225" t="s">
        <v>11</v>
      </c>
      <c r="D225" s="2">
        <v>293</v>
      </c>
      <c r="E225" s="1">
        <v>43862</v>
      </c>
      <c r="F225">
        <v>1</v>
      </c>
      <c r="G225">
        <v>2</v>
      </c>
      <c r="H225">
        <v>2020</v>
      </c>
      <c r="I225">
        <v>293</v>
      </c>
      <c r="J225">
        <v>146.5</v>
      </c>
      <c r="N225" s="1"/>
    </row>
    <row r="226" spans="1:14">
      <c r="A226">
        <v>4</v>
      </c>
      <c r="B226">
        <v>605154</v>
      </c>
      <c r="C226" t="s">
        <v>11</v>
      </c>
      <c r="D226" s="2">
        <v>1368</v>
      </c>
      <c r="E226" s="1">
        <v>43862</v>
      </c>
      <c r="F226">
        <v>1</v>
      </c>
      <c r="G226">
        <v>2</v>
      </c>
      <c r="H226">
        <v>2020</v>
      </c>
      <c r="I226">
        <v>1368</v>
      </c>
      <c r="J226">
        <v>684</v>
      </c>
      <c r="N226" s="1"/>
    </row>
    <row r="227" spans="1:14">
      <c r="A227">
        <v>3</v>
      </c>
      <c r="B227">
        <v>736328</v>
      </c>
      <c r="C227" t="s">
        <v>12</v>
      </c>
      <c r="D227" s="2">
        <v>2750</v>
      </c>
      <c r="E227" s="1">
        <v>43862</v>
      </c>
      <c r="F227">
        <v>1</v>
      </c>
      <c r="G227">
        <v>2</v>
      </c>
      <c r="H227">
        <v>2020</v>
      </c>
      <c r="I227">
        <v>13750</v>
      </c>
      <c r="J227">
        <v>6050.0000000000009</v>
      </c>
      <c r="N227" s="1"/>
    </row>
    <row r="228" spans="1:14">
      <c r="A228">
        <v>4</v>
      </c>
      <c r="B228">
        <v>283163</v>
      </c>
      <c r="C228" t="s">
        <v>12</v>
      </c>
      <c r="D228" s="2">
        <v>1865</v>
      </c>
      <c r="E228" s="1">
        <v>43862</v>
      </c>
      <c r="F228">
        <v>1</v>
      </c>
      <c r="G228">
        <v>2</v>
      </c>
      <c r="H228">
        <v>2020</v>
      </c>
      <c r="I228">
        <v>9325</v>
      </c>
      <c r="J228">
        <v>4103</v>
      </c>
      <c r="N228" s="1"/>
    </row>
    <row r="229" spans="1:14">
      <c r="A229">
        <v>3</v>
      </c>
      <c r="B229">
        <v>357838</v>
      </c>
      <c r="C229" t="s">
        <v>12</v>
      </c>
      <c r="D229" s="2">
        <v>1350</v>
      </c>
      <c r="E229" s="1">
        <v>43862</v>
      </c>
      <c r="F229">
        <v>1</v>
      </c>
      <c r="G229">
        <v>2</v>
      </c>
      <c r="H229">
        <v>2020</v>
      </c>
      <c r="I229">
        <v>6750</v>
      </c>
      <c r="J229">
        <v>2970.0000000000005</v>
      </c>
      <c r="N229" s="1"/>
    </row>
    <row r="230" spans="1:14">
      <c r="A230">
        <v>3</v>
      </c>
      <c r="B230">
        <v>761022</v>
      </c>
      <c r="C230" t="s">
        <v>12</v>
      </c>
      <c r="D230" s="2">
        <v>2240</v>
      </c>
      <c r="E230" s="1">
        <v>43862</v>
      </c>
      <c r="F230">
        <v>1</v>
      </c>
      <c r="G230">
        <v>2</v>
      </c>
      <c r="H230">
        <v>2020</v>
      </c>
      <c r="I230">
        <v>11200</v>
      </c>
      <c r="J230">
        <v>4928</v>
      </c>
      <c r="N230" s="1"/>
    </row>
    <row r="231" spans="1:14">
      <c r="A231">
        <v>4</v>
      </c>
      <c r="B231">
        <v>531656</v>
      </c>
      <c r="C231" t="s">
        <v>12</v>
      </c>
      <c r="D231" s="2">
        <v>270</v>
      </c>
      <c r="E231" s="1">
        <v>43862</v>
      </c>
      <c r="F231">
        <v>1</v>
      </c>
      <c r="G231">
        <v>2</v>
      </c>
      <c r="H231">
        <v>2020</v>
      </c>
      <c r="I231">
        <v>1350</v>
      </c>
      <c r="J231">
        <v>594</v>
      </c>
      <c r="N231" s="1"/>
    </row>
    <row r="232" spans="1:14">
      <c r="A232">
        <v>3</v>
      </c>
      <c r="B232">
        <v>161388</v>
      </c>
      <c r="C232" t="s">
        <v>13</v>
      </c>
      <c r="D232" s="2">
        <v>1858</v>
      </c>
      <c r="E232" s="1">
        <v>43862</v>
      </c>
      <c r="F232">
        <v>1</v>
      </c>
      <c r="G232">
        <v>2</v>
      </c>
      <c r="H232">
        <v>2020</v>
      </c>
      <c r="I232">
        <v>7432</v>
      </c>
      <c r="J232">
        <v>2787</v>
      </c>
      <c r="N232" s="1"/>
    </row>
    <row r="233" spans="1:14">
      <c r="A233">
        <v>3</v>
      </c>
      <c r="B233">
        <v>449939</v>
      </c>
      <c r="C233" t="s">
        <v>13</v>
      </c>
      <c r="D233" s="2">
        <v>1865</v>
      </c>
      <c r="E233" s="1">
        <v>43862</v>
      </c>
      <c r="F233">
        <v>1</v>
      </c>
      <c r="G233">
        <v>2</v>
      </c>
      <c r="H233">
        <v>2020</v>
      </c>
      <c r="I233">
        <v>7460</v>
      </c>
      <c r="J233">
        <v>2797.5</v>
      </c>
      <c r="N233" s="1"/>
    </row>
    <row r="234" spans="1:14">
      <c r="A234">
        <v>3</v>
      </c>
      <c r="B234">
        <v>787606</v>
      </c>
      <c r="C234" t="s">
        <v>13</v>
      </c>
      <c r="D234" s="2">
        <v>1116</v>
      </c>
      <c r="E234" s="1">
        <v>43862</v>
      </c>
      <c r="F234">
        <v>1</v>
      </c>
      <c r="G234">
        <v>2</v>
      </c>
      <c r="H234">
        <v>2020</v>
      </c>
      <c r="I234">
        <v>4464</v>
      </c>
      <c r="J234">
        <v>1674</v>
      </c>
      <c r="N234" s="1"/>
    </row>
    <row r="235" spans="1:14">
      <c r="A235">
        <v>5</v>
      </c>
      <c r="B235">
        <v>421883</v>
      </c>
      <c r="C235" t="s">
        <v>13</v>
      </c>
      <c r="D235" s="2">
        <v>727</v>
      </c>
      <c r="E235" s="1">
        <v>43862</v>
      </c>
      <c r="F235">
        <v>1</v>
      </c>
      <c r="G235">
        <v>2</v>
      </c>
      <c r="H235">
        <v>2020</v>
      </c>
      <c r="I235">
        <v>2908</v>
      </c>
      <c r="J235">
        <v>1090.5</v>
      </c>
      <c r="N235" s="1"/>
    </row>
    <row r="236" spans="1:14">
      <c r="A236">
        <v>1</v>
      </c>
      <c r="B236">
        <v>241164</v>
      </c>
      <c r="C236" t="s">
        <v>13</v>
      </c>
      <c r="D236" s="2">
        <v>1937</v>
      </c>
      <c r="E236" s="1">
        <v>43862</v>
      </c>
      <c r="F236">
        <v>1</v>
      </c>
      <c r="G236">
        <v>2</v>
      </c>
      <c r="H236">
        <v>2020</v>
      </c>
      <c r="I236">
        <v>7748</v>
      </c>
      <c r="J236">
        <v>2905.5</v>
      </c>
      <c r="N236" s="1"/>
    </row>
    <row r="237" spans="1:14">
      <c r="A237">
        <v>3</v>
      </c>
      <c r="B237">
        <v>793118</v>
      </c>
      <c r="C237" t="s">
        <v>14</v>
      </c>
      <c r="D237" s="2">
        <v>2001</v>
      </c>
      <c r="E237" s="1">
        <v>43862</v>
      </c>
      <c r="F237">
        <v>1</v>
      </c>
      <c r="G237">
        <v>2</v>
      </c>
      <c r="H237">
        <v>2020</v>
      </c>
      <c r="I237">
        <v>6003</v>
      </c>
      <c r="J237">
        <v>2501.25</v>
      </c>
      <c r="N237" s="1"/>
    </row>
    <row r="238" spans="1:14">
      <c r="A238">
        <v>1</v>
      </c>
      <c r="B238">
        <v>632111</v>
      </c>
      <c r="C238" t="s">
        <v>14</v>
      </c>
      <c r="D238" s="2">
        <v>2844</v>
      </c>
      <c r="E238" s="1">
        <v>43862</v>
      </c>
      <c r="F238">
        <v>1</v>
      </c>
      <c r="G238">
        <v>2</v>
      </c>
      <c r="H238">
        <v>2020</v>
      </c>
      <c r="I238">
        <v>8532</v>
      </c>
      <c r="J238">
        <v>3555</v>
      </c>
      <c r="N238" s="1"/>
    </row>
    <row r="239" spans="1:14">
      <c r="A239">
        <v>5</v>
      </c>
      <c r="B239">
        <v>619210</v>
      </c>
      <c r="C239" t="s">
        <v>14</v>
      </c>
      <c r="D239" s="2">
        <v>959</v>
      </c>
      <c r="E239" s="1">
        <v>43862</v>
      </c>
      <c r="F239">
        <v>1</v>
      </c>
      <c r="G239">
        <v>2</v>
      </c>
      <c r="H239">
        <v>2020</v>
      </c>
      <c r="I239">
        <v>2877</v>
      </c>
      <c r="J239">
        <v>1198.75</v>
      </c>
      <c r="N239" s="1"/>
    </row>
    <row r="240" spans="1:14">
      <c r="A240">
        <v>5</v>
      </c>
      <c r="B240">
        <v>210209</v>
      </c>
      <c r="C240" t="s">
        <v>14</v>
      </c>
      <c r="D240" s="2">
        <v>2747</v>
      </c>
      <c r="E240" s="1">
        <v>43862</v>
      </c>
      <c r="F240">
        <v>1</v>
      </c>
      <c r="G240">
        <v>2</v>
      </c>
      <c r="H240">
        <v>2020</v>
      </c>
      <c r="I240">
        <v>8241</v>
      </c>
      <c r="J240">
        <v>3433.75</v>
      </c>
      <c r="N240" s="1"/>
    </row>
    <row r="241" spans="1:14">
      <c r="A241">
        <v>5</v>
      </c>
      <c r="B241">
        <v>184366</v>
      </c>
      <c r="C241" t="s">
        <v>14</v>
      </c>
      <c r="D241" s="2">
        <v>2659</v>
      </c>
      <c r="E241" s="1">
        <v>43862</v>
      </c>
      <c r="F241">
        <v>1</v>
      </c>
      <c r="G241">
        <v>2</v>
      </c>
      <c r="H241">
        <v>2020</v>
      </c>
      <c r="I241">
        <v>7977</v>
      </c>
      <c r="J241">
        <v>3323.75</v>
      </c>
      <c r="N241" s="1"/>
    </row>
    <row r="242" spans="1:14">
      <c r="A242">
        <v>4</v>
      </c>
      <c r="B242">
        <v>775360</v>
      </c>
      <c r="C242" t="s">
        <v>15</v>
      </c>
      <c r="D242" s="2">
        <v>1804</v>
      </c>
      <c r="E242" s="1">
        <v>43862</v>
      </c>
      <c r="F242">
        <v>1</v>
      </c>
      <c r="G242">
        <v>2</v>
      </c>
      <c r="H242">
        <v>2020</v>
      </c>
      <c r="I242">
        <v>10824</v>
      </c>
      <c r="J242">
        <v>4961</v>
      </c>
      <c r="N242" s="1"/>
    </row>
    <row r="243" spans="1:14">
      <c r="A243">
        <v>2</v>
      </c>
      <c r="B243">
        <v>666752</v>
      </c>
      <c r="C243" t="s">
        <v>15</v>
      </c>
      <c r="D243" s="2">
        <v>807</v>
      </c>
      <c r="E243" s="1">
        <v>43862</v>
      </c>
      <c r="F243">
        <v>1</v>
      </c>
      <c r="G243">
        <v>2</v>
      </c>
      <c r="H243">
        <v>2020</v>
      </c>
      <c r="I243">
        <v>4842</v>
      </c>
      <c r="J243">
        <v>2219.25</v>
      </c>
      <c r="N243" s="1"/>
    </row>
    <row r="244" spans="1:14">
      <c r="A244">
        <v>4</v>
      </c>
      <c r="B244">
        <v>730844</v>
      </c>
      <c r="C244" t="s">
        <v>15</v>
      </c>
      <c r="D244" s="2">
        <v>952</v>
      </c>
      <c r="E244" s="1">
        <v>43862</v>
      </c>
      <c r="F244">
        <v>1</v>
      </c>
      <c r="G244">
        <v>2</v>
      </c>
      <c r="H244">
        <v>2020</v>
      </c>
      <c r="I244">
        <v>5712</v>
      </c>
      <c r="J244">
        <v>2618</v>
      </c>
      <c r="N244" s="1"/>
    </row>
    <row r="245" spans="1:14">
      <c r="A245">
        <v>3</v>
      </c>
      <c r="B245">
        <v>218006</v>
      </c>
      <c r="C245" t="s">
        <v>15</v>
      </c>
      <c r="D245" s="2">
        <v>2755</v>
      </c>
      <c r="E245" s="1">
        <v>43862</v>
      </c>
      <c r="F245">
        <v>1</v>
      </c>
      <c r="G245">
        <v>2</v>
      </c>
      <c r="H245">
        <v>2020</v>
      </c>
      <c r="I245">
        <v>16530</v>
      </c>
      <c r="J245">
        <v>7576.25</v>
      </c>
      <c r="N245" s="1"/>
    </row>
    <row r="246" spans="1:14">
      <c r="A246">
        <v>1</v>
      </c>
      <c r="B246">
        <v>674043</v>
      </c>
      <c r="C246" t="s">
        <v>15</v>
      </c>
      <c r="D246" s="2">
        <v>1575</v>
      </c>
      <c r="E246" s="1">
        <v>43862</v>
      </c>
      <c r="F246">
        <v>1</v>
      </c>
      <c r="G246">
        <v>2</v>
      </c>
      <c r="H246">
        <v>2020</v>
      </c>
      <c r="I246">
        <v>9450</v>
      </c>
      <c r="J246">
        <v>4331.25</v>
      </c>
      <c r="N246" s="1"/>
    </row>
    <row r="247" spans="1:14">
      <c r="A247">
        <v>1</v>
      </c>
      <c r="B247">
        <v>779279</v>
      </c>
      <c r="C247" t="s">
        <v>10</v>
      </c>
      <c r="D247" s="2">
        <v>1774</v>
      </c>
      <c r="E247" s="1">
        <v>43891</v>
      </c>
      <c r="F247">
        <v>1</v>
      </c>
      <c r="G247">
        <v>3</v>
      </c>
      <c r="H247">
        <v>2020</v>
      </c>
      <c r="I247">
        <v>8870</v>
      </c>
      <c r="J247">
        <v>3548</v>
      </c>
      <c r="N247" s="1"/>
    </row>
    <row r="248" spans="1:14">
      <c r="A248">
        <v>2</v>
      </c>
      <c r="B248">
        <v>776513</v>
      </c>
      <c r="C248" t="s">
        <v>10</v>
      </c>
      <c r="D248" s="2">
        <v>795</v>
      </c>
      <c r="E248" s="1">
        <v>43891</v>
      </c>
      <c r="F248">
        <v>1</v>
      </c>
      <c r="G248">
        <v>3</v>
      </c>
      <c r="H248">
        <v>2020</v>
      </c>
      <c r="I248">
        <v>3975</v>
      </c>
      <c r="J248">
        <v>1590</v>
      </c>
      <c r="N248" s="1"/>
    </row>
    <row r="249" spans="1:14">
      <c r="A249">
        <v>3</v>
      </c>
      <c r="B249">
        <v>508782</v>
      </c>
      <c r="C249" t="s">
        <v>10</v>
      </c>
      <c r="D249" s="2">
        <v>2992</v>
      </c>
      <c r="E249" s="1">
        <v>43891</v>
      </c>
      <c r="F249">
        <v>1</v>
      </c>
      <c r="G249">
        <v>3</v>
      </c>
      <c r="H249">
        <v>2020</v>
      </c>
      <c r="I249">
        <v>14960</v>
      </c>
      <c r="J249">
        <v>5984</v>
      </c>
      <c r="N249" s="1"/>
    </row>
    <row r="250" spans="1:14">
      <c r="A250">
        <v>4</v>
      </c>
      <c r="B250">
        <v>726489</v>
      </c>
      <c r="C250" t="s">
        <v>10</v>
      </c>
      <c r="D250" s="2">
        <v>2385</v>
      </c>
      <c r="E250" s="1">
        <v>43891</v>
      </c>
      <c r="F250">
        <v>1</v>
      </c>
      <c r="G250">
        <v>3</v>
      </c>
      <c r="H250">
        <v>2020</v>
      </c>
      <c r="I250">
        <v>11925</v>
      </c>
      <c r="J250">
        <v>4770</v>
      </c>
      <c r="N250" s="1"/>
    </row>
    <row r="251" spans="1:14">
      <c r="A251">
        <v>4</v>
      </c>
      <c r="B251">
        <v>686090</v>
      </c>
      <c r="C251" t="s">
        <v>10</v>
      </c>
      <c r="D251" s="2">
        <v>1114</v>
      </c>
      <c r="E251" s="1">
        <v>43891</v>
      </c>
      <c r="F251">
        <v>1</v>
      </c>
      <c r="G251">
        <v>3</v>
      </c>
      <c r="H251">
        <v>2020</v>
      </c>
      <c r="I251">
        <v>5570</v>
      </c>
      <c r="J251">
        <v>2228</v>
      </c>
      <c r="N251" s="1"/>
    </row>
    <row r="252" spans="1:14">
      <c r="A252">
        <v>5</v>
      </c>
      <c r="B252">
        <v>123431</v>
      </c>
      <c r="C252" t="s">
        <v>10</v>
      </c>
      <c r="D252" s="2">
        <v>973</v>
      </c>
      <c r="E252" s="1">
        <v>43891</v>
      </c>
      <c r="F252">
        <v>1</v>
      </c>
      <c r="G252">
        <v>3</v>
      </c>
      <c r="H252">
        <v>2020</v>
      </c>
      <c r="I252">
        <v>4865</v>
      </c>
      <c r="J252">
        <v>1946</v>
      </c>
      <c r="N252" s="1"/>
    </row>
    <row r="253" spans="1:14">
      <c r="A253">
        <v>5</v>
      </c>
      <c r="B253">
        <v>761356</v>
      </c>
      <c r="C253" t="s">
        <v>10</v>
      </c>
      <c r="D253" s="2">
        <v>1954</v>
      </c>
      <c r="E253" s="1">
        <v>43891</v>
      </c>
      <c r="F253">
        <v>1</v>
      </c>
      <c r="G253">
        <v>3</v>
      </c>
      <c r="H253">
        <v>2020</v>
      </c>
      <c r="I253">
        <v>9770</v>
      </c>
      <c r="J253">
        <v>3908</v>
      </c>
      <c r="N253" s="1"/>
    </row>
    <row r="254" spans="1:14">
      <c r="A254">
        <v>3</v>
      </c>
      <c r="B254">
        <v>667288</v>
      </c>
      <c r="C254" t="s">
        <v>10</v>
      </c>
      <c r="D254" s="2">
        <v>1122</v>
      </c>
      <c r="E254" s="1">
        <v>43891</v>
      </c>
      <c r="F254">
        <v>1</v>
      </c>
      <c r="G254">
        <v>3</v>
      </c>
      <c r="H254">
        <v>2020</v>
      </c>
      <c r="I254">
        <v>5610</v>
      </c>
      <c r="J254">
        <v>2244</v>
      </c>
      <c r="N254" s="1"/>
    </row>
    <row r="255" spans="1:14">
      <c r="A255">
        <v>4</v>
      </c>
      <c r="B255">
        <v>442121</v>
      </c>
      <c r="C255" t="s">
        <v>10</v>
      </c>
      <c r="D255" s="2">
        <v>2428</v>
      </c>
      <c r="E255" s="1">
        <v>43891</v>
      </c>
      <c r="F255">
        <v>1</v>
      </c>
      <c r="G255">
        <v>3</v>
      </c>
      <c r="H255">
        <v>2020</v>
      </c>
      <c r="I255">
        <v>12140</v>
      </c>
      <c r="J255">
        <v>4856</v>
      </c>
      <c r="N255" s="1"/>
    </row>
    <row r="256" spans="1:14">
      <c r="A256">
        <v>4</v>
      </c>
      <c r="B256">
        <v>690780</v>
      </c>
      <c r="C256" t="s">
        <v>10</v>
      </c>
      <c r="D256" s="2">
        <v>1158</v>
      </c>
      <c r="E256" s="1">
        <v>43891</v>
      </c>
      <c r="F256">
        <v>1</v>
      </c>
      <c r="G256">
        <v>3</v>
      </c>
      <c r="H256">
        <v>2020</v>
      </c>
      <c r="I256">
        <v>5790</v>
      </c>
      <c r="J256">
        <v>2316</v>
      </c>
      <c r="N256" s="1"/>
    </row>
    <row r="257" spans="1:14">
      <c r="A257">
        <v>3</v>
      </c>
      <c r="B257">
        <v>203604</v>
      </c>
      <c r="C257" t="s">
        <v>11</v>
      </c>
      <c r="D257" s="2">
        <v>921</v>
      </c>
      <c r="E257" s="1">
        <v>43891</v>
      </c>
      <c r="F257">
        <v>1</v>
      </c>
      <c r="G257">
        <v>3</v>
      </c>
      <c r="H257">
        <v>2020</v>
      </c>
      <c r="I257">
        <v>921</v>
      </c>
      <c r="J257">
        <v>460.5</v>
      </c>
      <c r="N257" s="1"/>
    </row>
    <row r="258" spans="1:14">
      <c r="A258">
        <v>2</v>
      </c>
      <c r="B258">
        <v>353832</v>
      </c>
      <c r="C258" t="s">
        <v>11</v>
      </c>
      <c r="D258" s="2">
        <v>2214</v>
      </c>
      <c r="E258" s="1">
        <v>43891</v>
      </c>
      <c r="F258">
        <v>1</v>
      </c>
      <c r="G258">
        <v>3</v>
      </c>
      <c r="H258">
        <v>2020</v>
      </c>
      <c r="I258">
        <v>2214</v>
      </c>
      <c r="J258">
        <v>1107</v>
      </c>
      <c r="N258" s="1"/>
    </row>
    <row r="259" spans="1:14">
      <c r="A259">
        <v>4</v>
      </c>
      <c r="B259">
        <v>823953</v>
      </c>
      <c r="C259" t="s">
        <v>11</v>
      </c>
      <c r="D259" s="2">
        <v>1967</v>
      </c>
      <c r="E259" s="1">
        <v>43891</v>
      </c>
      <c r="F259">
        <v>1</v>
      </c>
      <c r="G259">
        <v>3</v>
      </c>
      <c r="H259">
        <v>2020</v>
      </c>
      <c r="I259">
        <v>1967</v>
      </c>
      <c r="J259">
        <v>983.5</v>
      </c>
      <c r="N259" s="1"/>
    </row>
    <row r="260" spans="1:14">
      <c r="A260">
        <v>2</v>
      </c>
      <c r="B260">
        <v>179673</v>
      </c>
      <c r="C260" t="s">
        <v>11</v>
      </c>
      <c r="D260" s="2">
        <v>2501</v>
      </c>
      <c r="E260" s="1">
        <v>43891</v>
      </c>
      <c r="F260">
        <v>1</v>
      </c>
      <c r="G260">
        <v>3</v>
      </c>
      <c r="H260">
        <v>2020</v>
      </c>
      <c r="I260">
        <v>2501</v>
      </c>
      <c r="J260">
        <v>1250.5</v>
      </c>
      <c r="N260" s="1"/>
    </row>
    <row r="261" spans="1:14">
      <c r="A261">
        <v>3</v>
      </c>
      <c r="B261">
        <v>517456</v>
      </c>
      <c r="C261" t="s">
        <v>11</v>
      </c>
      <c r="D261" s="2">
        <v>677</v>
      </c>
      <c r="E261" s="1">
        <v>43891</v>
      </c>
      <c r="F261">
        <v>1</v>
      </c>
      <c r="G261">
        <v>3</v>
      </c>
      <c r="H261">
        <v>2020</v>
      </c>
      <c r="I261">
        <v>677</v>
      </c>
      <c r="J261">
        <v>338.5</v>
      </c>
      <c r="N261" s="1"/>
    </row>
    <row r="262" spans="1:14">
      <c r="A262">
        <v>3</v>
      </c>
      <c r="B262">
        <v>150101</v>
      </c>
      <c r="C262" t="s">
        <v>12</v>
      </c>
      <c r="D262" s="2">
        <v>259</v>
      </c>
      <c r="E262" s="1">
        <v>43891</v>
      </c>
      <c r="F262">
        <v>1</v>
      </c>
      <c r="G262">
        <v>3</v>
      </c>
      <c r="H262">
        <v>2020</v>
      </c>
      <c r="I262">
        <v>1295</v>
      </c>
      <c r="J262">
        <v>569.80000000000007</v>
      </c>
      <c r="N262" s="1"/>
    </row>
    <row r="263" spans="1:14">
      <c r="A263">
        <v>3</v>
      </c>
      <c r="B263">
        <v>604462</v>
      </c>
      <c r="C263" t="s">
        <v>12</v>
      </c>
      <c r="D263" s="2">
        <v>1101</v>
      </c>
      <c r="E263" s="1">
        <v>43891</v>
      </c>
      <c r="F263">
        <v>1</v>
      </c>
      <c r="G263">
        <v>3</v>
      </c>
      <c r="H263">
        <v>2020</v>
      </c>
      <c r="I263">
        <v>5505</v>
      </c>
      <c r="J263">
        <v>2422.2000000000003</v>
      </c>
      <c r="N263" s="1"/>
    </row>
    <row r="264" spans="1:14">
      <c r="A264">
        <v>3</v>
      </c>
      <c r="B264">
        <v>215670</v>
      </c>
      <c r="C264" t="s">
        <v>12</v>
      </c>
      <c r="D264" s="2">
        <v>2993</v>
      </c>
      <c r="E264" s="1">
        <v>43891</v>
      </c>
      <c r="F264">
        <v>1</v>
      </c>
      <c r="G264">
        <v>3</v>
      </c>
      <c r="H264">
        <v>2020</v>
      </c>
      <c r="I264">
        <v>14965</v>
      </c>
      <c r="J264">
        <v>6584.6</v>
      </c>
      <c r="N264" s="1"/>
    </row>
    <row r="265" spans="1:14">
      <c r="A265">
        <v>3</v>
      </c>
      <c r="B265">
        <v>858624</v>
      </c>
      <c r="C265" t="s">
        <v>12</v>
      </c>
      <c r="D265" s="2">
        <v>888</v>
      </c>
      <c r="E265" s="1">
        <v>43891</v>
      </c>
      <c r="F265">
        <v>1</v>
      </c>
      <c r="G265">
        <v>3</v>
      </c>
      <c r="H265">
        <v>2020</v>
      </c>
      <c r="I265">
        <v>4440</v>
      </c>
      <c r="J265">
        <v>1953.6000000000001</v>
      </c>
      <c r="N265" s="1"/>
    </row>
    <row r="266" spans="1:14">
      <c r="A266">
        <v>3</v>
      </c>
      <c r="B266">
        <v>683349</v>
      </c>
      <c r="C266" t="s">
        <v>12</v>
      </c>
      <c r="D266" s="2">
        <v>2475</v>
      </c>
      <c r="E266" s="1">
        <v>43891</v>
      </c>
      <c r="F266">
        <v>1</v>
      </c>
      <c r="G266">
        <v>3</v>
      </c>
      <c r="H266">
        <v>2020</v>
      </c>
      <c r="I266">
        <v>12375</v>
      </c>
      <c r="J266">
        <v>5445</v>
      </c>
      <c r="N266" s="1"/>
    </row>
    <row r="267" spans="1:14">
      <c r="A267">
        <v>3</v>
      </c>
      <c r="B267">
        <v>103112</v>
      </c>
      <c r="C267" t="s">
        <v>13</v>
      </c>
      <c r="D267" s="2">
        <v>1210</v>
      </c>
      <c r="E267" s="1">
        <v>43891</v>
      </c>
      <c r="F267">
        <v>1</v>
      </c>
      <c r="G267">
        <v>3</v>
      </c>
      <c r="H267">
        <v>2020</v>
      </c>
      <c r="I267">
        <v>4840</v>
      </c>
      <c r="J267">
        <v>1815</v>
      </c>
      <c r="N267" s="1"/>
    </row>
    <row r="268" spans="1:14">
      <c r="A268">
        <v>1</v>
      </c>
      <c r="B268">
        <v>345233</v>
      </c>
      <c r="C268" t="s">
        <v>13</v>
      </c>
      <c r="D268" s="2">
        <v>1761</v>
      </c>
      <c r="E268" s="1">
        <v>43891</v>
      </c>
      <c r="F268">
        <v>1</v>
      </c>
      <c r="G268">
        <v>3</v>
      </c>
      <c r="H268">
        <v>2020</v>
      </c>
      <c r="I268">
        <v>7044</v>
      </c>
      <c r="J268">
        <v>2641.5</v>
      </c>
      <c r="N268" s="1"/>
    </row>
    <row r="269" spans="1:14">
      <c r="A269">
        <v>5</v>
      </c>
      <c r="B269">
        <v>242657</v>
      </c>
      <c r="C269" t="s">
        <v>13</v>
      </c>
      <c r="D269" s="2">
        <v>792</v>
      </c>
      <c r="E269" s="1">
        <v>43891</v>
      </c>
      <c r="F269">
        <v>1</v>
      </c>
      <c r="G269">
        <v>3</v>
      </c>
      <c r="H269">
        <v>2020</v>
      </c>
      <c r="I269">
        <v>3168</v>
      </c>
      <c r="J269">
        <v>1188</v>
      </c>
      <c r="N269" s="1"/>
    </row>
    <row r="270" spans="1:14">
      <c r="A270">
        <v>3</v>
      </c>
      <c r="B270">
        <v>602911</v>
      </c>
      <c r="C270" t="s">
        <v>13</v>
      </c>
      <c r="D270" s="2">
        <v>923</v>
      </c>
      <c r="E270" s="1">
        <v>43891</v>
      </c>
      <c r="F270">
        <v>1</v>
      </c>
      <c r="G270">
        <v>3</v>
      </c>
      <c r="H270">
        <v>2020</v>
      </c>
      <c r="I270">
        <v>3692</v>
      </c>
      <c r="J270">
        <v>1384.5</v>
      </c>
      <c r="N270" s="1"/>
    </row>
    <row r="271" spans="1:14">
      <c r="A271">
        <v>3</v>
      </c>
      <c r="B271">
        <v>317699</v>
      </c>
      <c r="C271" t="s">
        <v>13</v>
      </c>
      <c r="D271" s="2">
        <v>1790</v>
      </c>
      <c r="E271" s="1">
        <v>43891</v>
      </c>
      <c r="F271">
        <v>1</v>
      </c>
      <c r="G271">
        <v>3</v>
      </c>
      <c r="H271">
        <v>2020</v>
      </c>
      <c r="I271">
        <v>7160</v>
      </c>
      <c r="J271">
        <v>2685</v>
      </c>
      <c r="N271" s="1"/>
    </row>
    <row r="272" spans="1:14">
      <c r="A272">
        <v>5</v>
      </c>
      <c r="B272">
        <v>514091</v>
      </c>
      <c r="C272" t="s">
        <v>14</v>
      </c>
      <c r="D272" s="2">
        <v>1326</v>
      </c>
      <c r="E272" s="1">
        <v>43891</v>
      </c>
      <c r="F272">
        <v>1</v>
      </c>
      <c r="G272">
        <v>3</v>
      </c>
      <c r="H272">
        <v>2020</v>
      </c>
      <c r="I272">
        <v>3978</v>
      </c>
      <c r="J272">
        <v>1657.5</v>
      </c>
      <c r="N272" s="1"/>
    </row>
    <row r="273" spans="1:14">
      <c r="A273">
        <v>4</v>
      </c>
      <c r="B273">
        <v>735280</v>
      </c>
      <c r="C273" t="s">
        <v>14</v>
      </c>
      <c r="D273" s="2">
        <v>263</v>
      </c>
      <c r="E273" s="1">
        <v>43891</v>
      </c>
      <c r="F273">
        <v>1</v>
      </c>
      <c r="G273">
        <v>3</v>
      </c>
      <c r="H273">
        <v>2020</v>
      </c>
      <c r="I273">
        <v>789</v>
      </c>
      <c r="J273">
        <v>328.75</v>
      </c>
      <c r="N273" s="1"/>
    </row>
    <row r="274" spans="1:14">
      <c r="A274">
        <v>5</v>
      </c>
      <c r="B274">
        <v>565067</v>
      </c>
      <c r="C274" t="s">
        <v>14</v>
      </c>
      <c r="D274" s="2">
        <v>1579</v>
      </c>
      <c r="E274" s="1">
        <v>43891</v>
      </c>
      <c r="F274">
        <v>1</v>
      </c>
      <c r="G274">
        <v>3</v>
      </c>
      <c r="H274">
        <v>2020</v>
      </c>
      <c r="I274">
        <v>4737</v>
      </c>
      <c r="J274">
        <v>1973.75</v>
      </c>
      <c r="N274" s="1"/>
    </row>
    <row r="275" spans="1:14">
      <c r="A275">
        <v>3</v>
      </c>
      <c r="B275">
        <v>138905</v>
      </c>
      <c r="C275" t="s">
        <v>14</v>
      </c>
      <c r="D275" s="2">
        <v>1491</v>
      </c>
      <c r="E275" s="1">
        <v>43891</v>
      </c>
      <c r="F275">
        <v>1</v>
      </c>
      <c r="G275">
        <v>3</v>
      </c>
      <c r="H275">
        <v>2020</v>
      </c>
      <c r="I275">
        <v>4473</v>
      </c>
      <c r="J275">
        <v>1863.75</v>
      </c>
      <c r="N275" s="1"/>
    </row>
    <row r="276" spans="1:14">
      <c r="A276">
        <v>2</v>
      </c>
      <c r="B276">
        <v>800536</v>
      </c>
      <c r="C276" t="s">
        <v>14</v>
      </c>
      <c r="D276" s="2">
        <v>2903</v>
      </c>
      <c r="E276" s="1">
        <v>43891</v>
      </c>
      <c r="F276">
        <v>1</v>
      </c>
      <c r="G276">
        <v>3</v>
      </c>
      <c r="H276">
        <v>2020</v>
      </c>
      <c r="I276">
        <v>8709</v>
      </c>
      <c r="J276">
        <v>3628.75</v>
      </c>
      <c r="N276" s="1"/>
    </row>
    <row r="277" spans="1:14">
      <c r="A277">
        <v>1</v>
      </c>
      <c r="B277">
        <v>806592</v>
      </c>
      <c r="C277" t="s">
        <v>15</v>
      </c>
      <c r="D277" s="2">
        <v>2161</v>
      </c>
      <c r="E277" s="1">
        <v>43891</v>
      </c>
      <c r="F277">
        <v>1</v>
      </c>
      <c r="G277">
        <v>3</v>
      </c>
      <c r="H277">
        <v>2020</v>
      </c>
      <c r="I277">
        <v>12966</v>
      </c>
      <c r="J277">
        <v>5942.75</v>
      </c>
      <c r="N277" s="1"/>
    </row>
    <row r="278" spans="1:14">
      <c r="A278">
        <v>3</v>
      </c>
      <c r="B278">
        <v>464499</v>
      </c>
      <c r="C278" t="s">
        <v>15</v>
      </c>
      <c r="D278" s="2">
        <v>1465</v>
      </c>
      <c r="E278" s="1">
        <v>43891</v>
      </c>
      <c r="F278">
        <v>1</v>
      </c>
      <c r="G278">
        <v>3</v>
      </c>
      <c r="H278">
        <v>2020</v>
      </c>
      <c r="I278">
        <v>8790</v>
      </c>
      <c r="J278">
        <v>4028.75</v>
      </c>
      <c r="N278" s="1"/>
    </row>
    <row r="279" spans="1:14">
      <c r="A279">
        <v>1</v>
      </c>
      <c r="B279">
        <v>856865</v>
      </c>
      <c r="C279" t="s">
        <v>15</v>
      </c>
      <c r="D279" s="2">
        <v>598</v>
      </c>
      <c r="E279" s="1">
        <v>43891</v>
      </c>
      <c r="F279">
        <v>1</v>
      </c>
      <c r="G279">
        <v>3</v>
      </c>
      <c r="H279">
        <v>2020</v>
      </c>
      <c r="I279">
        <v>3588</v>
      </c>
      <c r="J279">
        <v>1644.5</v>
      </c>
      <c r="N279" s="1"/>
    </row>
    <row r="280" spans="1:14">
      <c r="A280">
        <v>2</v>
      </c>
      <c r="B280">
        <v>751733</v>
      </c>
      <c r="C280" t="s">
        <v>15</v>
      </c>
      <c r="D280" s="2">
        <v>1967</v>
      </c>
      <c r="E280" s="1">
        <v>43891</v>
      </c>
      <c r="F280">
        <v>1</v>
      </c>
      <c r="G280">
        <v>3</v>
      </c>
      <c r="H280">
        <v>2020</v>
      </c>
      <c r="I280">
        <v>11802</v>
      </c>
      <c r="J280">
        <v>5409.25</v>
      </c>
      <c r="N280" s="1"/>
    </row>
    <row r="281" spans="1:14">
      <c r="A281">
        <v>1</v>
      </c>
      <c r="B281">
        <v>600167</v>
      </c>
      <c r="C281" t="s">
        <v>15</v>
      </c>
      <c r="D281" s="2">
        <v>500</v>
      </c>
      <c r="E281" s="1">
        <v>43891</v>
      </c>
      <c r="F281">
        <v>1</v>
      </c>
      <c r="G281">
        <v>3</v>
      </c>
      <c r="H281">
        <v>2020</v>
      </c>
      <c r="I281">
        <v>3000</v>
      </c>
      <c r="J281">
        <v>1375</v>
      </c>
      <c r="N281" s="1"/>
    </row>
    <row r="282" spans="1:14">
      <c r="A282">
        <v>5</v>
      </c>
      <c r="B282">
        <v>283378</v>
      </c>
      <c r="C282" t="s">
        <v>10</v>
      </c>
      <c r="D282" s="2">
        <v>4492.5</v>
      </c>
      <c r="E282" s="1">
        <v>43922</v>
      </c>
      <c r="F282">
        <v>1</v>
      </c>
      <c r="G282">
        <v>4</v>
      </c>
      <c r="H282">
        <v>2020</v>
      </c>
      <c r="I282">
        <v>22462.5</v>
      </c>
      <c r="J282">
        <v>8985</v>
      </c>
      <c r="N282" s="1"/>
    </row>
    <row r="283" spans="1:14">
      <c r="A283">
        <v>4</v>
      </c>
      <c r="B283">
        <v>595670</v>
      </c>
      <c r="C283" t="s">
        <v>10</v>
      </c>
      <c r="D283" s="2">
        <v>1414.5</v>
      </c>
      <c r="E283" s="1">
        <v>43922</v>
      </c>
      <c r="F283">
        <v>1</v>
      </c>
      <c r="G283">
        <v>4</v>
      </c>
      <c r="H283">
        <v>2020</v>
      </c>
      <c r="I283">
        <v>7072.5</v>
      </c>
      <c r="J283">
        <v>2829</v>
      </c>
      <c r="N283" s="1"/>
    </row>
    <row r="284" spans="1:14">
      <c r="A284">
        <v>1</v>
      </c>
      <c r="B284">
        <v>218291</v>
      </c>
      <c r="C284" t="s">
        <v>10</v>
      </c>
      <c r="D284" s="2">
        <v>1607</v>
      </c>
      <c r="E284" s="1">
        <v>43922</v>
      </c>
      <c r="F284">
        <v>1</v>
      </c>
      <c r="G284">
        <v>4</v>
      </c>
      <c r="H284">
        <v>2020</v>
      </c>
      <c r="I284">
        <v>8035</v>
      </c>
      <c r="J284">
        <v>3214</v>
      </c>
      <c r="N284" s="1"/>
    </row>
    <row r="285" spans="1:14">
      <c r="A285">
        <v>2</v>
      </c>
      <c r="B285">
        <v>603195</v>
      </c>
      <c r="C285" t="s">
        <v>10</v>
      </c>
      <c r="D285" s="2">
        <v>3801</v>
      </c>
      <c r="E285" s="1">
        <v>43922</v>
      </c>
      <c r="F285">
        <v>1</v>
      </c>
      <c r="G285">
        <v>4</v>
      </c>
      <c r="H285">
        <v>2020</v>
      </c>
      <c r="I285">
        <v>19005</v>
      </c>
      <c r="J285">
        <v>7602</v>
      </c>
      <c r="N285" s="1"/>
    </row>
    <row r="286" spans="1:14">
      <c r="A286">
        <v>3</v>
      </c>
      <c r="B286">
        <v>428676</v>
      </c>
      <c r="C286" t="s">
        <v>10</v>
      </c>
      <c r="D286" s="2">
        <v>1259</v>
      </c>
      <c r="E286" s="1">
        <v>43922</v>
      </c>
      <c r="F286">
        <v>1</v>
      </c>
      <c r="G286">
        <v>4</v>
      </c>
      <c r="H286">
        <v>2020</v>
      </c>
      <c r="I286">
        <v>6295</v>
      </c>
      <c r="J286">
        <v>2518</v>
      </c>
      <c r="N286" s="1"/>
    </row>
    <row r="287" spans="1:14">
      <c r="A287">
        <v>2</v>
      </c>
      <c r="B287">
        <v>643111</v>
      </c>
      <c r="C287" t="s">
        <v>10</v>
      </c>
      <c r="D287" s="2">
        <v>3675</v>
      </c>
      <c r="E287" s="1">
        <v>43922</v>
      </c>
      <c r="F287">
        <v>1</v>
      </c>
      <c r="G287">
        <v>4</v>
      </c>
      <c r="H287">
        <v>2020</v>
      </c>
      <c r="I287">
        <v>18375</v>
      </c>
      <c r="J287">
        <v>7350</v>
      </c>
      <c r="N287" s="1"/>
    </row>
    <row r="288" spans="1:14">
      <c r="A288">
        <v>3</v>
      </c>
      <c r="B288">
        <v>436809</v>
      </c>
      <c r="C288" t="s">
        <v>10</v>
      </c>
      <c r="D288" s="2">
        <v>2532</v>
      </c>
      <c r="E288" s="1">
        <v>43922</v>
      </c>
      <c r="F288">
        <v>1</v>
      </c>
      <c r="G288">
        <v>4</v>
      </c>
      <c r="H288">
        <v>2020</v>
      </c>
      <c r="I288">
        <v>12660</v>
      </c>
      <c r="J288">
        <v>5064</v>
      </c>
      <c r="N288" s="1"/>
    </row>
    <row r="289" spans="1:14">
      <c r="A289">
        <v>3</v>
      </c>
      <c r="B289">
        <v>216326</v>
      </c>
      <c r="C289" t="s">
        <v>10</v>
      </c>
      <c r="D289" s="2">
        <v>1614</v>
      </c>
      <c r="E289" s="1">
        <v>43922</v>
      </c>
      <c r="F289">
        <v>1</v>
      </c>
      <c r="G289">
        <v>4</v>
      </c>
      <c r="H289">
        <v>2020</v>
      </c>
      <c r="I289">
        <v>8070</v>
      </c>
      <c r="J289">
        <v>3228</v>
      </c>
      <c r="N289" s="1"/>
    </row>
    <row r="290" spans="1:14">
      <c r="A290">
        <v>3</v>
      </c>
      <c r="B290">
        <v>844763</v>
      </c>
      <c r="C290" t="s">
        <v>10</v>
      </c>
      <c r="D290" s="2">
        <v>2535</v>
      </c>
      <c r="E290" s="1">
        <v>43922</v>
      </c>
      <c r="F290">
        <v>1</v>
      </c>
      <c r="G290">
        <v>4</v>
      </c>
      <c r="H290">
        <v>2020</v>
      </c>
      <c r="I290">
        <v>12675</v>
      </c>
      <c r="J290">
        <v>5070</v>
      </c>
      <c r="N290" s="1"/>
    </row>
    <row r="291" spans="1:14">
      <c r="A291">
        <v>4</v>
      </c>
      <c r="B291">
        <v>170761</v>
      </c>
      <c r="C291" t="s">
        <v>10</v>
      </c>
      <c r="D291" s="2">
        <v>723</v>
      </c>
      <c r="E291" s="1">
        <v>43922</v>
      </c>
      <c r="F291">
        <v>1</v>
      </c>
      <c r="G291">
        <v>4</v>
      </c>
      <c r="H291">
        <v>2020</v>
      </c>
      <c r="I291">
        <v>3615</v>
      </c>
      <c r="J291">
        <v>1446</v>
      </c>
      <c r="N291" s="1"/>
    </row>
    <row r="292" spans="1:14">
      <c r="A292">
        <v>4</v>
      </c>
      <c r="B292">
        <v>142538</v>
      </c>
      <c r="C292" t="s">
        <v>11</v>
      </c>
      <c r="D292" s="2">
        <v>2301</v>
      </c>
      <c r="E292" s="1">
        <v>43922</v>
      </c>
      <c r="F292">
        <v>1</v>
      </c>
      <c r="G292">
        <v>4</v>
      </c>
      <c r="H292">
        <v>2020</v>
      </c>
      <c r="I292">
        <v>2301</v>
      </c>
      <c r="J292">
        <v>1150.5</v>
      </c>
      <c r="N292" s="1"/>
    </row>
    <row r="293" spans="1:14">
      <c r="A293">
        <v>1</v>
      </c>
      <c r="B293">
        <v>503244</v>
      </c>
      <c r="C293" t="s">
        <v>11</v>
      </c>
      <c r="D293" s="2">
        <v>980</v>
      </c>
      <c r="E293" s="1">
        <v>43922</v>
      </c>
      <c r="F293">
        <v>1</v>
      </c>
      <c r="G293">
        <v>4</v>
      </c>
      <c r="H293">
        <v>2020</v>
      </c>
      <c r="I293">
        <v>980</v>
      </c>
      <c r="J293">
        <v>490</v>
      </c>
      <c r="N293" s="1"/>
    </row>
    <row r="294" spans="1:14">
      <c r="A294">
        <v>4</v>
      </c>
      <c r="B294">
        <v>156617</v>
      </c>
      <c r="C294" t="s">
        <v>11</v>
      </c>
      <c r="D294" s="2">
        <v>3802.5</v>
      </c>
      <c r="E294" s="1">
        <v>43922</v>
      </c>
      <c r="F294">
        <v>1</v>
      </c>
      <c r="G294">
        <v>4</v>
      </c>
      <c r="H294">
        <v>2020</v>
      </c>
      <c r="I294">
        <v>3802.5</v>
      </c>
      <c r="J294">
        <v>1901.25</v>
      </c>
      <c r="N294" s="1"/>
    </row>
    <row r="295" spans="1:14">
      <c r="A295">
        <v>2</v>
      </c>
      <c r="B295">
        <v>433556</v>
      </c>
      <c r="C295" t="s">
        <v>11</v>
      </c>
      <c r="D295" s="2">
        <v>1773</v>
      </c>
      <c r="E295" s="1">
        <v>43922</v>
      </c>
      <c r="F295">
        <v>1</v>
      </c>
      <c r="G295">
        <v>4</v>
      </c>
      <c r="H295">
        <v>2020</v>
      </c>
      <c r="I295">
        <v>1773</v>
      </c>
      <c r="J295">
        <v>886.5</v>
      </c>
      <c r="N295" s="1"/>
    </row>
    <row r="296" spans="1:14">
      <c r="A296">
        <v>5</v>
      </c>
      <c r="B296">
        <v>721311</v>
      </c>
      <c r="C296" t="s">
        <v>11</v>
      </c>
      <c r="D296" s="2">
        <v>1199</v>
      </c>
      <c r="E296" s="1">
        <v>43922</v>
      </c>
      <c r="F296">
        <v>1</v>
      </c>
      <c r="G296">
        <v>4</v>
      </c>
      <c r="H296">
        <v>2020</v>
      </c>
      <c r="I296">
        <v>1199</v>
      </c>
      <c r="J296">
        <v>599.5</v>
      </c>
      <c r="N296" s="1"/>
    </row>
    <row r="297" spans="1:14">
      <c r="A297">
        <v>3</v>
      </c>
      <c r="B297">
        <v>731074</v>
      </c>
      <c r="C297" t="s">
        <v>12</v>
      </c>
      <c r="D297" s="2">
        <v>1953</v>
      </c>
      <c r="E297" s="1">
        <v>43922</v>
      </c>
      <c r="F297">
        <v>1</v>
      </c>
      <c r="G297">
        <v>4</v>
      </c>
      <c r="H297">
        <v>2020</v>
      </c>
      <c r="I297">
        <v>9765</v>
      </c>
      <c r="J297">
        <v>4296.6000000000004</v>
      </c>
      <c r="N297" s="1"/>
    </row>
    <row r="298" spans="1:14">
      <c r="A298">
        <v>4</v>
      </c>
      <c r="B298">
        <v>739483</v>
      </c>
      <c r="C298" t="s">
        <v>12</v>
      </c>
      <c r="D298" s="2">
        <v>4219.5</v>
      </c>
      <c r="E298" s="1">
        <v>43922</v>
      </c>
      <c r="F298">
        <v>1</v>
      </c>
      <c r="G298">
        <v>4</v>
      </c>
      <c r="H298">
        <v>2020</v>
      </c>
      <c r="I298">
        <v>21097.5</v>
      </c>
      <c r="J298">
        <v>9282.9000000000015</v>
      </c>
      <c r="N298" s="1"/>
    </row>
    <row r="299" spans="1:14">
      <c r="A299">
        <v>4</v>
      </c>
      <c r="B299">
        <v>558408</v>
      </c>
      <c r="C299" t="s">
        <v>12</v>
      </c>
      <c r="D299" s="2">
        <v>1074</v>
      </c>
      <c r="E299" s="1">
        <v>43922</v>
      </c>
      <c r="F299">
        <v>1</v>
      </c>
      <c r="G299">
        <v>4</v>
      </c>
      <c r="H299">
        <v>2020</v>
      </c>
      <c r="I299">
        <v>5370</v>
      </c>
      <c r="J299">
        <v>2362.8000000000002</v>
      </c>
      <c r="N299" s="1"/>
    </row>
    <row r="300" spans="1:14">
      <c r="A300">
        <v>3</v>
      </c>
      <c r="B300">
        <v>272552</v>
      </c>
      <c r="C300" t="s">
        <v>12</v>
      </c>
      <c r="D300" s="2">
        <v>3520.5</v>
      </c>
      <c r="E300" s="1">
        <v>43922</v>
      </c>
      <c r="F300">
        <v>1</v>
      </c>
      <c r="G300">
        <v>4</v>
      </c>
      <c r="H300">
        <v>2020</v>
      </c>
      <c r="I300">
        <v>17602.5</v>
      </c>
      <c r="J300">
        <v>7745.1</v>
      </c>
      <c r="N300" s="1"/>
    </row>
    <row r="301" spans="1:14">
      <c r="A301">
        <v>1</v>
      </c>
      <c r="B301">
        <v>178855</v>
      </c>
      <c r="C301" t="s">
        <v>13</v>
      </c>
      <c r="D301" s="2">
        <v>742.5</v>
      </c>
      <c r="E301" s="1">
        <v>43922</v>
      </c>
      <c r="F301">
        <v>1</v>
      </c>
      <c r="G301">
        <v>4</v>
      </c>
      <c r="H301">
        <v>2020</v>
      </c>
      <c r="I301">
        <v>2970</v>
      </c>
      <c r="J301">
        <v>1113.75</v>
      </c>
      <c r="N301" s="1"/>
    </row>
    <row r="302" spans="1:14">
      <c r="A302">
        <v>4</v>
      </c>
      <c r="B302">
        <v>765655</v>
      </c>
      <c r="C302" t="s">
        <v>13</v>
      </c>
      <c r="D302" s="2">
        <v>4243.5</v>
      </c>
      <c r="E302" s="1">
        <v>43922</v>
      </c>
      <c r="F302">
        <v>1</v>
      </c>
      <c r="G302">
        <v>4</v>
      </c>
      <c r="H302">
        <v>2020</v>
      </c>
      <c r="I302">
        <v>16974</v>
      </c>
      <c r="J302">
        <v>6365.25</v>
      </c>
      <c r="N302" s="1"/>
    </row>
    <row r="303" spans="1:14">
      <c r="A303">
        <v>1</v>
      </c>
      <c r="B303">
        <v>732442</v>
      </c>
      <c r="C303" t="s">
        <v>13</v>
      </c>
      <c r="D303" s="2">
        <v>2580</v>
      </c>
      <c r="E303" s="1">
        <v>43922</v>
      </c>
      <c r="F303">
        <v>1</v>
      </c>
      <c r="G303">
        <v>4</v>
      </c>
      <c r="H303">
        <v>2020</v>
      </c>
      <c r="I303">
        <v>10320</v>
      </c>
      <c r="J303">
        <v>3870</v>
      </c>
      <c r="N303" s="1"/>
    </row>
    <row r="304" spans="1:14">
      <c r="A304">
        <v>3</v>
      </c>
      <c r="B304">
        <v>876370</v>
      </c>
      <c r="C304" t="s">
        <v>13</v>
      </c>
      <c r="D304" s="2">
        <v>3445.5</v>
      </c>
      <c r="E304" s="1">
        <v>43922</v>
      </c>
      <c r="F304">
        <v>1</v>
      </c>
      <c r="G304">
        <v>4</v>
      </c>
      <c r="H304">
        <v>2020</v>
      </c>
      <c r="I304">
        <v>13782</v>
      </c>
      <c r="J304">
        <v>5168.25</v>
      </c>
      <c r="N304" s="1"/>
    </row>
    <row r="305" spans="1:14">
      <c r="A305">
        <v>4</v>
      </c>
      <c r="B305">
        <v>455417</v>
      </c>
      <c r="C305" t="s">
        <v>13</v>
      </c>
      <c r="D305" s="2">
        <v>2579</v>
      </c>
      <c r="E305" s="1">
        <v>43922</v>
      </c>
      <c r="F305">
        <v>1</v>
      </c>
      <c r="G305">
        <v>4</v>
      </c>
      <c r="H305">
        <v>2020</v>
      </c>
      <c r="I305">
        <v>10316</v>
      </c>
      <c r="J305">
        <v>3868.5</v>
      </c>
      <c r="N305" s="1"/>
    </row>
    <row r="306" spans="1:14">
      <c r="A306">
        <v>3</v>
      </c>
      <c r="B306">
        <v>355287</v>
      </c>
      <c r="C306" t="s">
        <v>14</v>
      </c>
      <c r="D306" s="2">
        <v>2838</v>
      </c>
      <c r="E306" s="1">
        <v>43922</v>
      </c>
      <c r="F306">
        <v>1</v>
      </c>
      <c r="G306">
        <v>4</v>
      </c>
      <c r="H306">
        <v>2020</v>
      </c>
      <c r="I306">
        <v>8514</v>
      </c>
      <c r="J306">
        <v>3547.5</v>
      </c>
      <c r="N306" s="1"/>
    </row>
    <row r="307" spans="1:14">
      <c r="A307">
        <v>1</v>
      </c>
      <c r="B307">
        <v>540473</v>
      </c>
      <c r="C307" t="s">
        <v>14</v>
      </c>
      <c r="D307" s="2">
        <v>943.5</v>
      </c>
      <c r="E307" s="1">
        <v>43922</v>
      </c>
      <c r="F307">
        <v>1</v>
      </c>
      <c r="G307">
        <v>4</v>
      </c>
      <c r="H307">
        <v>2020</v>
      </c>
      <c r="I307">
        <v>2830.5</v>
      </c>
      <c r="J307">
        <v>1179.375</v>
      </c>
      <c r="N307" s="1"/>
    </row>
    <row r="308" spans="1:14">
      <c r="A308">
        <v>3</v>
      </c>
      <c r="B308">
        <v>703612</v>
      </c>
      <c r="C308" t="s">
        <v>14</v>
      </c>
      <c r="D308" s="2">
        <v>1916</v>
      </c>
      <c r="E308" s="1">
        <v>43922</v>
      </c>
      <c r="F308">
        <v>1</v>
      </c>
      <c r="G308">
        <v>4</v>
      </c>
      <c r="H308">
        <v>2020</v>
      </c>
      <c r="I308">
        <v>5748</v>
      </c>
      <c r="J308">
        <v>2395</v>
      </c>
      <c r="N308" s="1"/>
    </row>
    <row r="309" spans="1:14">
      <c r="A309">
        <v>2</v>
      </c>
      <c r="B309">
        <v>361541</v>
      </c>
      <c r="C309" t="s">
        <v>14</v>
      </c>
      <c r="D309" s="2">
        <v>1738.5</v>
      </c>
      <c r="E309" s="1">
        <v>43922</v>
      </c>
      <c r="F309">
        <v>1</v>
      </c>
      <c r="G309">
        <v>4</v>
      </c>
      <c r="H309">
        <v>2020</v>
      </c>
      <c r="I309">
        <v>5215.5</v>
      </c>
      <c r="J309">
        <v>2173.125</v>
      </c>
      <c r="N309" s="1"/>
    </row>
    <row r="310" spans="1:14">
      <c r="A310">
        <v>3</v>
      </c>
      <c r="B310">
        <v>324307</v>
      </c>
      <c r="C310" t="s">
        <v>14</v>
      </c>
      <c r="D310" s="2">
        <v>574.5</v>
      </c>
      <c r="E310" s="1">
        <v>43922</v>
      </c>
      <c r="F310">
        <v>1</v>
      </c>
      <c r="G310">
        <v>4</v>
      </c>
      <c r="H310">
        <v>2020</v>
      </c>
      <c r="I310">
        <v>1723.5</v>
      </c>
      <c r="J310">
        <v>718.125</v>
      </c>
      <c r="N310" s="1"/>
    </row>
    <row r="311" spans="1:14">
      <c r="A311">
        <v>2</v>
      </c>
      <c r="B311">
        <v>151130</v>
      </c>
      <c r="C311" t="s">
        <v>14</v>
      </c>
      <c r="D311" s="2">
        <v>1351.5</v>
      </c>
      <c r="E311" s="1">
        <v>43922</v>
      </c>
      <c r="F311">
        <v>1</v>
      </c>
      <c r="G311">
        <v>4</v>
      </c>
      <c r="H311">
        <v>2020</v>
      </c>
      <c r="I311">
        <v>4054.5</v>
      </c>
      <c r="J311">
        <v>1689.375</v>
      </c>
      <c r="N311" s="1"/>
    </row>
    <row r="312" spans="1:14">
      <c r="A312">
        <v>5</v>
      </c>
      <c r="B312">
        <v>613058</v>
      </c>
      <c r="C312" t="s">
        <v>15</v>
      </c>
      <c r="D312" s="2">
        <v>3864</v>
      </c>
      <c r="E312" s="1">
        <v>43922</v>
      </c>
      <c r="F312">
        <v>1</v>
      </c>
      <c r="G312">
        <v>4</v>
      </c>
      <c r="H312">
        <v>2020</v>
      </c>
      <c r="I312">
        <v>23184</v>
      </c>
      <c r="J312">
        <v>10626</v>
      </c>
      <c r="N312" s="1"/>
    </row>
    <row r="313" spans="1:14">
      <c r="A313">
        <v>4</v>
      </c>
      <c r="B313">
        <v>766402</v>
      </c>
      <c r="C313" t="s">
        <v>15</v>
      </c>
      <c r="D313" s="2">
        <v>3850.5</v>
      </c>
      <c r="E313" s="1">
        <v>43922</v>
      </c>
      <c r="F313">
        <v>1</v>
      </c>
      <c r="G313">
        <v>4</v>
      </c>
      <c r="H313">
        <v>2020</v>
      </c>
      <c r="I313">
        <v>23103</v>
      </c>
      <c r="J313">
        <v>10588.875</v>
      </c>
      <c r="N313" s="1"/>
    </row>
    <row r="314" spans="1:14">
      <c r="A314">
        <v>2</v>
      </c>
      <c r="B314">
        <v>507202</v>
      </c>
      <c r="C314" t="s">
        <v>15</v>
      </c>
      <c r="D314" s="2">
        <v>2628</v>
      </c>
      <c r="E314" s="1">
        <v>43922</v>
      </c>
      <c r="F314">
        <v>1</v>
      </c>
      <c r="G314">
        <v>4</v>
      </c>
      <c r="H314">
        <v>2020</v>
      </c>
      <c r="I314">
        <v>15768</v>
      </c>
      <c r="J314">
        <v>7227</v>
      </c>
      <c r="N314" s="1"/>
    </row>
    <row r="315" spans="1:14">
      <c r="A315">
        <v>4</v>
      </c>
      <c r="B315">
        <v>581762</v>
      </c>
      <c r="C315" t="s">
        <v>15</v>
      </c>
      <c r="D315" s="2">
        <v>510</v>
      </c>
      <c r="E315" s="1">
        <v>43922</v>
      </c>
      <c r="F315">
        <v>1</v>
      </c>
      <c r="G315">
        <v>4</v>
      </c>
      <c r="H315">
        <v>2020</v>
      </c>
      <c r="I315">
        <v>3060</v>
      </c>
      <c r="J315">
        <v>1402.5</v>
      </c>
      <c r="N315" s="1"/>
    </row>
    <row r="316" spans="1:14">
      <c r="A316">
        <v>1</v>
      </c>
      <c r="B316">
        <v>349645</v>
      </c>
      <c r="C316" t="s">
        <v>15</v>
      </c>
      <c r="D316" s="2">
        <v>606</v>
      </c>
      <c r="E316" s="1">
        <v>43922</v>
      </c>
      <c r="F316">
        <v>1</v>
      </c>
      <c r="G316">
        <v>4</v>
      </c>
      <c r="H316">
        <v>2020</v>
      </c>
      <c r="I316">
        <v>3636</v>
      </c>
      <c r="J316">
        <v>1666.5</v>
      </c>
      <c r="N316" s="1"/>
    </row>
    <row r="317" spans="1:14">
      <c r="A317">
        <v>3</v>
      </c>
      <c r="B317">
        <v>600124</v>
      </c>
      <c r="C317" t="s">
        <v>10</v>
      </c>
      <c r="D317" s="2">
        <v>1030</v>
      </c>
      <c r="E317" s="1">
        <v>43952</v>
      </c>
      <c r="F317">
        <v>1</v>
      </c>
      <c r="G317">
        <v>5</v>
      </c>
      <c r="H317">
        <v>2020</v>
      </c>
      <c r="I317">
        <v>5150</v>
      </c>
      <c r="J317">
        <v>2060</v>
      </c>
      <c r="N317" s="1"/>
    </row>
    <row r="318" spans="1:14">
      <c r="A318">
        <v>5</v>
      </c>
      <c r="B318">
        <v>770750</v>
      </c>
      <c r="C318" t="s">
        <v>10</v>
      </c>
      <c r="D318" s="2">
        <v>918</v>
      </c>
      <c r="E318" s="1">
        <v>43952</v>
      </c>
      <c r="F318">
        <v>1</v>
      </c>
      <c r="G318">
        <v>5</v>
      </c>
      <c r="H318">
        <v>2020</v>
      </c>
      <c r="I318">
        <v>4590</v>
      </c>
      <c r="J318">
        <v>1836</v>
      </c>
      <c r="N318" s="1"/>
    </row>
    <row r="319" spans="1:14">
      <c r="A319">
        <v>3</v>
      </c>
      <c r="B319">
        <v>365463</v>
      </c>
      <c r="C319" t="s">
        <v>10</v>
      </c>
      <c r="D319" s="2">
        <v>1728</v>
      </c>
      <c r="E319" s="1">
        <v>43952</v>
      </c>
      <c r="F319">
        <v>1</v>
      </c>
      <c r="G319">
        <v>5</v>
      </c>
      <c r="H319">
        <v>2020</v>
      </c>
      <c r="I319">
        <v>8640</v>
      </c>
      <c r="J319">
        <v>3456</v>
      </c>
      <c r="N319" s="1"/>
    </row>
    <row r="320" spans="1:14">
      <c r="A320">
        <v>3</v>
      </c>
      <c r="B320">
        <v>549329</v>
      </c>
      <c r="C320" t="s">
        <v>10</v>
      </c>
      <c r="D320" s="2">
        <v>2918</v>
      </c>
      <c r="E320" s="1">
        <v>43952</v>
      </c>
      <c r="F320">
        <v>1</v>
      </c>
      <c r="G320">
        <v>5</v>
      </c>
      <c r="H320">
        <v>2020</v>
      </c>
      <c r="I320">
        <v>14590</v>
      </c>
      <c r="J320">
        <v>5836</v>
      </c>
      <c r="N320" s="1"/>
    </row>
    <row r="321" spans="1:14">
      <c r="A321">
        <v>1</v>
      </c>
      <c r="B321">
        <v>779126</v>
      </c>
      <c r="C321" t="s">
        <v>10</v>
      </c>
      <c r="D321" s="2">
        <v>2327</v>
      </c>
      <c r="E321" s="1">
        <v>43952</v>
      </c>
      <c r="F321">
        <v>1</v>
      </c>
      <c r="G321">
        <v>5</v>
      </c>
      <c r="H321">
        <v>2020</v>
      </c>
      <c r="I321">
        <v>11635</v>
      </c>
      <c r="J321">
        <v>4654</v>
      </c>
      <c r="N321" s="1"/>
    </row>
    <row r="322" spans="1:14">
      <c r="A322">
        <v>1</v>
      </c>
      <c r="B322">
        <v>283491</v>
      </c>
      <c r="C322" t="s">
        <v>10</v>
      </c>
      <c r="D322" s="2">
        <v>1702</v>
      </c>
      <c r="E322" s="1">
        <v>43952</v>
      </c>
      <c r="F322">
        <v>1</v>
      </c>
      <c r="G322">
        <v>5</v>
      </c>
      <c r="H322">
        <v>2020</v>
      </c>
      <c r="I322">
        <v>8510</v>
      </c>
      <c r="J322">
        <v>3404</v>
      </c>
      <c r="N322" s="1"/>
    </row>
    <row r="323" spans="1:14">
      <c r="A323">
        <v>2</v>
      </c>
      <c r="B323">
        <v>566983</v>
      </c>
      <c r="C323" t="s">
        <v>10</v>
      </c>
      <c r="D323" s="2">
        <v>257</v>
      </c>
      <c r="E323" s="1">
        <v>43952</v>
      </c>
      <c r="F323">
        <v>1</v>
      </c>
      <c r="G323">
        <v>5</v>
      </c>
      <c r="H323">
        <v>2020</v>
      </c>
      <c r="I323">
        <v>1285</v>
      </c>
      <c r="J323">
        <v>514</v>
      </c>
      <c r="N323" s="1"/>
    </row>
    <row r="324" spans="1:14">
      <c r="A324">
        <v>5</v>
      </c>
      <c r="B324">
        <v>278950</v>
      </c>
      <c r="C324" t="s">
        <v>10</v>
      </c>
      <c r="D324" s="2">
        <v>1095</v>
      </c>
      <c r="E324" s="1">
        <v>43952</v>
      </c>
      <c r="F324">
        <v>1</v>
      </c>
      <c r="G324">
        <v>5</v>
      </c>
      <c r="H324">
        <v>2020</v>
      </c>
      <c r="I324">
        <v>5475</v>
      </c>
      <c r="J324">
        <v>2190</v>
      </c>
      <c r="N324" s="1"/>
    </row>
    <row r="325" spans="1:14">
      <c r="A325">
        <v>4</v>
      </c>
      <c r="B325">
        <v>197639</v>
      </c>
      <c r="C325" t="s">
        <v>10</v>
      </c>
      <c r="D325" s="2">
        <v>591</v>
      </c>
      <c r="E325" s="1">
        <v>43952</v>
      </c>
      <c r="F325">
        <v>1</v>
      </c>
      <c r="G325">
        <v>5</v>
      </c>
      <c r="H325">
        <v>2020</v>
      </c>
      <c r="I325">
        <v>2955</v>
      </c>
      <c r="J325">
        <v>1182</v>
      </c>
      <c r="N325" s="1"/>
    </row>
    <row r="326" spans="1:14">
      <c r="A326">
        <v>4</v>
      </c>
      <c r="B326">
        <v>251968</v>
      </c>
      <c r="C326" t="s">
        <v>10</v>
      </c>
      <c r="D326" s="2">
        <v>2851</v>
      </c>
      <c r="E326" s="1">
        <v>43952</v>
      </c>
      <c r="F326">
        <v>1</v>
      </c>
      <c r="G326">
        <v>5</v>
      </c>
      <c r="H326">
        <v>2020</v>
      </c>
      <c r="I326">
        <v>14255</v>
      </c>
      <c r="J326">
        <v>5702</v>
      </c>
      <c r="N326" s="1"/>
    </row>
    <row r="327" spans="1:14">
      <c r="A327">
        <v>2</v>
      </c>
      <c r="B327">
        <v>199458</v>
      </c>
      <c r="C327" t="s">
        <v>11</v>
      </c>
      <c r="D327" s="2">
        <v>1460</v>
      </c>
      <c r="E327" s="1">
        <v>43952</v>
      </c>
      <c r="F327">
        <v>1</v>
      </c>
      <c r="G327">
        <v>5</v>
      </c>
      <c r="H327">
        <v>2020</v>
      </c>
      <c r="I327">
        <v>1460</v>
      </c>
      <c r="J327">
        <v>730</v>
      </c>
      <c r="N327" s="1"/>
    </row>
    <row r="328" spans="1:14">
      <c r="A328">
        <v>2</v>
      </c>
      <c r="B328">
        <v>487819</v>
      </c>
      <c r="C328" t="s">
        <v>11</v>
      </c>
      <c r="D328" s="2">
        <v>1666</v>
      </c>
      <c r="E328" s="1">
        <v>43952</v>
      </c>
      <c r="F328">
        <v>1</v>
      </c>
      <c r="G328">
        <v>5</v>
      </c>
      <c r="H328">
        <v>2020</v>
      </c>
      <c r="I328">
        <v>1666</v>
      </c>
      <c r="J328">
        <v>833</v>
      </c>
      <c r="N328" s="1"/>
    </row>
    <row r="329" spans="1:14">
      <c r="A329">
        <v>3</v>
      </c>
      <c r="B329">
        <v>561083</v>
      </c>
      <c r="C329" t="s">
        <v>11</v>
      </c>
      <c r="D329" s="2">
        <v>2313</v>
      </c>
      <c r="E329" s="1">
        <v>43952</v>
      </c>
      <c r="F329">
        <v>1</v>
      </c>
      <c r="G329">
        <v>5</v>
      </c>
      <c r="H329">
        <v>2020</v>
      </c>
      <c r="I329">
        <v>2313</v>
      </c>
      <c r="J329">
        <v>1156.5</v>
      </c>
      <c r="N329" s="1"/>
    </row>
    <row r="330" spans="1:14">
      <c r="A330">
        <v>1</v>
      </c>
      <c r="B330">
        <v>200053</v>
      </c>
      <c r="C330" t="s">
        <v>11</v>
      </c>
      <c r="D330" s="2">
        <v>2661</v>
      </c>
      <c r="E330" s="1">
        <v>43952</v>
      </c>
      <c r="F330">
        <v>1</v>
      </c>
      <c r="G330">
        <v>5</v>
      </c>
      <c r="H330">
        <v>2020</v>
      </c>
      <c r="I330">
        <v>2661</v>
      </c>
      <c r="J330">
        <v>1330.5</v>
      </c>
      <c r="N330" s="1"/>
    </row>
    <row r="331" spans="1:14">
      <c r="A331">
        <v>2</v>
      </c>
      <c r="B331">
        <v>205221</v>
      </c>
      <c r="C331" t="s">
        <v>11</v>
      </c>
      <c r="D331" s="2">
        <v>200</v>
      </c>
      <c r="E331" s="1">
        <v>43952</v>
      </c>
      <c r="F331">
        <v>1</v>
      </c>
      <c r="G331">
        <v>5</v>
      </c>
      <c r="H331">
        <v>2020</v>
      </c>
      <c r="I331">
        <v>200</v>
      </c>
      <c r="J331">
        <v>100</v>
      </c>
      <c r="N331" s="1"/>
    </row>
    <row r="332" spans="1:14">
      <c r="A332">
        <v>4</v>
      </c>
      <c r="B332">
        <v>655952</v>
      </c>
      <c r="C332" t="s">
        <v>12</v>
      </c>
      <c r="D332" s="2">
        <v>2276</v>
      </c>
      <c r="E332" s="1">
        <v>43952</v>
      </c>
      <c r="F332">
        <v>1</v>
      </c>
      <c r="G332">
        <v>5</v>
      </c>
      <c r="H332">
        <v>2020</v>
      </c>
      <c r="I332">
        <v>11380</v>
      </c>
      <c r="J332">
        <v>5007.2000000000007</v>
      </c>
      <c r="N332" s="1"/>
    </row>
    <row r="333" spans="1:14">
      <c r="A333">
        <v>3</v>
      </c>
      <c r="B333">
        <v>493427</v>
      </c>
      <c r="C333" t="s">
        <v>12</v>
      </c>
      <c r="D333" s="2">
        <v>1645</v>
      </c>
      <c r="E333" s="1">
        <v>43952</v>
      </c>
      <c r="F333">
        <v>1</v>
      </c>
      <c r="G333">
        <v>5</v>
      </c>
      <c r="H333">
        <v>2020</v>
      </c>
      <c r="I333">
        <v>8225</v>
      </c>
      <c r="J333">
        <v>3619.0000000000005</v>
      </c>
      <c r="N333" s="1"/>
    </row>
    <row r="334" spans="1:14">
      <c r="A334">
        <v>4</v>
      </c>
      <c r="B334">
        <v>120233</v>
      </c>
      <c r="C334" t="s">
        <v>12</v>
      </c>
      <c r="D334" s="2">
        <v>2039</v>
      </c>
      <c r="E334" s="1">
        <v>43952</v>
      </c>
      <c r="F334">
        <v>1</v>
      </c>
      <c r="G334">
        <v>5</v>
      </c>
      <c r="H334">
        <v>2020</v>
      </c>
      <c r="I334">
        <v>10195</v>
      </c>
      <c r="J334">
        <v>4485.8</v>
      </c>
      <c r="N334" s="1"/>
    </row>
    <row r="335" spans="1:14">
      <c r="A335">
        <v>3</v>
      </c>
      <c r="B335">
        <v>821698</v>
      </c>
      <c r="C335" t="s">
        <v>12</v>
      </c>
      <c r="D335" s="2">
        <v>1433</v>
      </c>
      <c r="E335" s="1">
        <v>43952</v>
      </c>
      <c r="F335">
        <v>1</v>
      </c>
      <c r="G335">
        <v>5</v>
      </c>
      <c r="H335">
        <v>2020</v>
      </c>
      <c r="I335">
        <v>7165</v>
      </c>
      <c r="J335">
        <v>3152.6000000000004</v>
      </c>
      <c r="N335" s="1"/>
    </row>
    <row r="336" spans="1:14">
      <c r="A336">
        <v>2</v>
      </c>
      <c r="B336">
        <v>374115</v>
      </c>
      <c r="C336" t="s">
        <v>12</v>
      </c>
      <c r="D336" s="2">
        <v>2844</v>
      </c>
      <c r="E336" s="1">
        <v>43952</v>
      </c>
      <c r="F336">
        <v>1</v>
      </c>
      <c r="G336">
        <v>5</v>
      </c>
      <c r="H336">
        <v>2020</v>
      </c>
      <c r="I336">
        <v>14220</v>
      </c>
      <c r="J336">
        <v>6256.8</v>
      </c>
      <c r="N336" s="1"/>
    </row>
    <row r="337" spans="1:14">
      <c r="A337">
        <v>1</v>
      </c>
      <c r="B337">
        <v>355733</v>
      </c>
      <c r="C337" t="s">
        <v>13</v>
      </c>
      <c r="D337" s="2">
        <v>831</v>
      </c>
      <c r="E337" s="1">
        <v>43952</v>
      </c>
      <c r="F337">
        <v>1</v>
      </c>
      <c r="G337">
        <v>5</v>
      </c>
      <c r="H337">
        <v>2020</v>
      </c>
      <c r="I337">
        <v>3324</v>
      </c>
      <c r="J337">
        <v>1246.5</v>
      </c>
      <c r="N337" s="1"/>
    </row>
    <row r="338" spans="1:14">
      <c r="A338">
        <v>2</v>
      </c>
      <c r="B338">
        <v>295574</v>
      </c>
      <c r="C338" t="s">
        <v>13</v>
      </c>
      <c r="D338" s="2">
        <v>1563</v>
      </c>
      <c r="E338" s="1">
        <v>43952</v>
      </c>
      <c r="F338">
        <v>1</v>
      </c>
      <c r="G338">
        <v>5</v>
      </c>
      <c r="H338">
        <v>2020</v>
      </c>
      <c r="I338">
        <v>6252</v>
      </c>
      <c r="J338">
        <v>2344.5</v>
      </c>
      <c r="N338" s="1"/>
    </row>
    <row r="339" spans="1:14">
      <c r="A339">
        <v>5</v>
      </c>
      <c r="B339">
        <v>273665</v>
      </c>
      <c r="C339" t="s">
        <v>13</v>
      </c>
      <c r="D339" s="2">
        <v>663</v>
      </c>
      <c r="E339" s="1">
        <v>43952</v>
      </c>
      <c r="F339">
        <v>1</v>
      </c>
      <c r="G339">
        <v>5</v>
      </c>
      <c r="H339">
        <v>2020</v>
      </c>
      <c r="I339">
        <v>2652</v>
      </c>
      <c r="J339">
        <v>994.5</v>
      </c>
      <c r="N339" s="1"/>
    </row>
    <row r="340" spans="1:14">
      <c r="A340">
        <v>3</v>
      </c>
      <c r="B340">
        <v>759484</v>
      </c>
      <c r="C340" t="s">
        <v>13</v>
      </c>
      <c r="D340" s="2">
        <v>1743</v>
      </c>
      <c r="E340" s="1">
        <v>43952</v>
      </c>
      <c r="F340">
        <v>1</v>
      </c>
      <c r="G340">
        <v>5</v>
      </c>
      <c r="H340">
        <v>2020</v>
      </c>
      <c r="I340">
        <v>6972</v>
      </c>
      <c r="J340">
        <v>2614.5</v>
      </c>
      <c r="N340" s="1"/>
    </row>
    <row r="341" spans="1:14">
      <c r="A341">
        <v>5</v>
      </c>
      <c r="B341">
        <v>818048</v>
      </c>
      <c r="C341" t="s">
        <v>14</v>
      </c>
      <c r="D341" s="2">
        <v>866</v>
      </c>
      <c r="E341" s="1">
        <v>43952</v>
      </c>
      <c r="F341">
        <v>1</v>
      </c>
      <c r="G341">
        <v>5</v>
      </c>
      <c r="H341">
        <v>2020</v>
      </c>
      <c r="I341">
        <v>2598</v>
      </c>
      <c r="J341">
        <v>1082.5</v>
      </c>
      <c r="N341" s="1"/>
    </row>
    <row r="342" spans="1:14">
      <c r="A342">
        <v>3</v>
      </c>
      <c r="B342">
        <v>747194</v>
      </c>
      <c r="C342" t="s">
        <v>14</v>
      </c>
      <c r="D342" s="2">
        <v>880</v>
      </c>
      <c r="E342" s="1">
        <v>43952</v>
      </c>
      <c r="F342">
        <v>1</v>
      </c>
      <c r="G342">
        <v>5</v>
      </c>
      <c r="H342">
        <v>2020</v>
      </c>
      <c r="I342">
        <v>2640</v>
      </c>
      <c r="J342">
        <v>1100</v>
      </c>
      <c r="N342" s="1"/>
    </row>
    <row r="343" spans="1:14">
      <c r="A343">
        <v>5</v>
      </c>
      <c r="B343">
        <v>727045</v>
      </c>
      <c r="C343" t="s">
        <v>14</v>
      </c>
      <c r="D343" s="2">
        <v>341</v>
      </c>
      <c r="E343" s="1">
        <v>43952</v>
      </c>
      <c r="F343">
        <v>1</v>
      </c>
      <c r="G343">
        <v>5</v>
      </c>
      <c r="H343">
        <v>2020</v>
      </c>
      <c r="I343">
        <v>1023</v>
      </c>
      <c r="J343">
        <v>426.25</v>
      </c>
      <c r="N343" s="1"/>
    </row>
    <row r="344" spans="1:14">
      <c r="A344">
        <v>2</v>
      </c>
      <c r="B344">
        <v>644843</v>
      </c>
      <c r="C344" t="s">
        <v>14</v>
      </c>
      <c r="D344" s="2">
        <v>2109</v>
      </c>
      <c r="E344" s="1">
        <v>43952</v>
      </c>
      <c r="F344">
        <v>1</v>
      </c>
      <c r="G344">
        <v>5</v>
      </c>
      <c r="H344">
        <v>2020</v>
      </c>
      <c r="I344">
        <v>6327</v>
      </c>
      <c r="J344">
        <v>2636.25</v>
      </c>
      <c r="N344" s="1"/>
    </row>
    <row r="345" spans="1:14">
      <c r="A345">
        <v>3</v>
      </c>
      <c r="B345">
        <v>559561</v>
      </c>
      <c r="C345" t="s">
        <v>14</v>
      </c>
      <c r="D345" s="2">
        <v>1806</v>
      </c>
      <c r="E345" s="1">
        <v>43952</v>
      </c>
      <c r="F345">
        <v>1</v>
      </c>
      <c r="G345">
        <v>5</v>
      </c>
      <c r="H345">
        <v>2020</v>
      </c>
      <c r="I345">
        <v>5418</v>
      </c>
      <c r="J345">
        <v>2257.5</v>
      </c>
      <c r="N345" s="1"/>
    </row>
    <row r="346" spans="1:14">
      <c r="A346">
        <v>1</v>
      </c>
      <c r="B346">
        <v>729194</v>
      </c>
      <c r="C346" t="s">
        <v>15</v>
      </c>
      <c r="D346" s="2">
        <v>362</v>
      </c>
      <c r="E346" s="1">
        <v>43952</v>
      </c>
      <c r="F346">
        <v>1</v>
      </c>
      <c r="G346">
        <v>5</v>
      </c>
      <c r="H346">
        <v>2020</v>
      </c>
      <c r="I346">
        <v>2172</v>
      </c>
      <c r="J346">
        <v>995.5</v>
      </c>
      <c r="N346" s="1"/>
    </row>
    <row r="347" spans="1:14">
      <c r="A347">
        <v>5</v>
      </c>
      <c r="B347">
        <v>374150</v>
      </c>
      <c r="C347" t="s">
        <v>15</v>
      </c>
      <c r="D347" s="2">
        <v>1530</v>
      </c>
      <c r="E347" s="1">
        <v>43952</v>
      </c>
      <c r="F347">
        <v>1</v>
      </c>
      <c r="G347">
        <v>5</v>
      </c>
      <c r="H347">
        <v>2020</v>
      </c>
      <c r="I347">
        <v>9180</v>
      </c>
      <c r="J347">
        <v>4207.5</v>
      </c>
      <c r="N347" s="1"/>
    </row>
    <row r="348" spans="1:14">
      <c r="A348">
        <v>3</v>
      </c>
      <c r="B348">
        <v>636371</v>
      </c>
      <c r="C348" t="s">
        <v>15</v>
      </c>
      <c r="D348" s="2">
        <v>1262</v>
      </c>
      <c r="E348" s="1">
        <v>43952</v>
      </c>
      <c r="F348">
        <v>1</v>
      </c>
      <c r="G348">
        <v>5</v>
      </c>
      <c r="H348">
        <v>2020</v>
      </c>
      <c r="I348">
        <v>7572</v>
      </c>
      <c r="J348">
        <v>3470.5</v>
      </c>
      <c r="N348" s="1"/>
    </row>
    <row r="349" spans="1:14">
      <c r="A349">
        <v>1</v>
      </c>
      <c r="B349">
        <v>847731</v>
      </c>
      <c r="C349" t="s">
        <v>15</v>
      </c>
      <c r="D349" s="2">
        <v>245</v>
      </c>
      <c r="E349" s="1">
        <v>43952</v>
      </c>
      <c r="F349">
        <v>1</v>
      </c>
      <c r="G349">
        <v>5</v>
      </c>
      <c r="H349">
        <v>2020</v>
      </c>
      <c r="I349">
        <v>1470</v>
      </c>
      <c r="J349">
        <v>673.75</v>
      </c>
      <c r="N349" s="1"/>
    </row>
    <row r="350" spans="1:14">
      <c r="A350">
        <v>1</v>
      </c>
      <c r="B350">
        <v>217808</v>
      </c>
      <c r="C350" t="s">
        <v>15</v>
      </c>
      <c r="D350" s="2">
        <v>790</v>
      </c>
      <c r="E350" s="1">
        <v>43952</v>
      </c>
      <c r="F350">
        <v>1</v>
      </c>
      <c r="G350">
        <v>5</v>
      </c>
      <c r="H350">
        <v>2020</v>
      </c>
      <c r="I350">
        <v>4740</v>
      </c>
      <c r="J350">
        <v>2172.5</v>
      </c>
      <c r="N350" s="1"/>
    </row>
    <row r="351" spans="1:14">
      <c r="A351">
        <v>3</v>
      </c>
      <c r="B351">
        <v>853295</v>
      </c>
      <c r="C351" t="s">
        <v>15</v>
      </c>
      <c r="D351" s="2">
        <v>2826</v>
      </c>
      <c r="E351" s="1">
        <v>43952</v>
      </c>
      <c r="F351">
        <v>1</v>
      </c>
      <c r="G351">
        <v>5</v>
      </c>
      <c r="H351">
        <v>2020</v>
      </c>
      <c r="I351">
        <v>16956</v>
      </c>
      <c r="J351">
        <v>7771.5</v>
      </c>
      <c r="N351" s="1"/>
    </row>
    <row r="352" spans="1:14">
      <c r="A352">
        <v>3</v>
      </c>
      <c r="B352">
        <v>684759</v>
      </c>
      <c r="C352" t="s">
        <v>10</v>
      </c>
      <c r="D352" s="2">
        <v>2518</v>
      </c>
      <c r="E352" s="1">
        <v>43983</v>
      </c>
      <c r="F352">
        <v>1</v>
      </c>
      <c r="G352">
        <v>6</v>
      </c>
      <c r="H352">
        <v>2020</v>
      </c>
      <c r="I352">
        <v>12590</v>
      </c>
      <c r="J352">
        <v>5036</v>
      </c>
      <c r="N352" s="1"/>
    </row>
    <row r="353" spans="1:14">
      <c r="A353">
        <v>4</v>
      </c>
      <c r="B353">
        <v>640447</v>
      </c>
      <c r="C353" t="s">
        <v>10</v>
      </c>
      <c r="D353" s="2">
        <v>1006</v>
      </c>
      <c r="E353" s="1">
        <v>43983</v>
      </c>
      <c r="F353">
        <v>1</v>
      </c>
      <c r="G353">
        <v>6</v>
      </c>
      <c r="H353">
        <v>2020</v>
      </c>
      <c r="I353">
        <v>5030</v>
      </c>
      <c r="J353">
        <v>2012</v>
      </c>
      <c r="N353" s="1"/>
    </row>
    <row r="354" spans="1:14">
      <c r="A354">
        <v>4</v>
      </c>
      <c r="B354">
        <v>885205</v>
      </c>
      <c r="C354" t="s">
        <v>10</v>
      </c>
      <c r="D354" s="2">
        <v>727</v>
      </c>
      <c r="E354" s="1">
        <v>43983</v>
      </c>
      <c r="F354">
        <v>1</v>
      </c>
      <c r="G354">
        <v>6</v>
      </c>
      <c r="H354">
        <v>2020</v>
      </c>
      <c r="I354">
        <v>3635</v>
      </c>
      <c r="J354">
        <v>1454</v>
      </c>
      <c r="N354" s="1"/>
    </row>
    <row r="355" spans="1:14">
      <c r="A355">
        <v>3</v>
      </c>
      <c r="B355">
        <v>387444</v>
      </c>
      <c r="C355" t="s">
        <v>10</v>
      </c>
      <c r="D355" s="2">
        <v>787</v>
      </c>
      <c r="E355" s="1">
        <v>43983</v>
      </c>
      <c r="F355">
        <v>1</v>
      </c>
      <c r="G355">
        <v>6</v>
      </c>
      <c r="H355">
        <v>2020</v>
      </c>
      <c r="I355">
        <v>3935</v>
      </c>
      <c r="J355">
        <v>1574</v>
      </c>
      <c r="N355" s="1"/>
    </row>
    <row r="356" spans="1:14">
      <c r="A356">
        <v>1</v>
      </c>
      <c r="B356">
        <v>234290</v>
      </c>
      <c r="C356" t="s">
        <v>10</v>
      </c>
      <c r="D356" s="2">
        <v>1142</v>
      </c>
      <c r="E356" s="1">
        <v>43983</v>
      </c>
      <c r="F356">
        <v>1</v>
      </c>
      <c r="G356">
        <v>6</v>
      </c>
      <c r="H356">
        <v>2020</v>
      </c>
      <c r="I356">
        <v>5710</v>
      </c>
      <c r="J356">
        <v>2284</v>
      </c>
      <c r="N356" s="1"/>
    </row>
    <row r="357" spans="1:14">
      <c r="A357">
        <v>5</v>
      </c>
      <c r="B357">
        <v>847203</v>
      </c>
      <c r="C357" t="s">
        <v>10</v>
      </c>
      <c r="D357" s="2">
        <v>662</v>
      </c>
      <c r="E357" s="1">
        <v>43983</v>
      </c>
      <c r="F357">
        <v>1</v>
      </c>
      <c r="G357">
        <v>6</v>
      </c>
      <c r="H357">
        <v>2020</v>
      </c>
      <c r="I357">
        <v>3310</v>
      </c>
      <c r="J357">
        <v>1324</v>
      </c>
      <c r="N357" s="1"/>
    </row>
    <row r="358" spans="1:14">
      <c r="A358">
        <v>1</v>
      </c>
      <c r="B358">
        <v>296424</v>
      </c>
      <c r="C358" t="s">
        <v>10</v>
      </c>
      <c r="D358" s="2">
        <v>1901</v>
      </c>
      <c r="E358" s="1">
        <v>43983</v>
      </c>
      <c r="F358">
        <v>1</v>
      </c>
      <c r="G358">
        <v>6</v>
      </c>
      <c r="H358">
        <v>2020</v>
      </c>
      <c r="I358">
        <v>9505</v>
      </c>
      <c r="J358">
        <v>3802</v>
      </c>
      <c r="N358" s="1"/>
    </row>
    <row r="359" spans="1:14">
      <c r="A359">
        <v>3</v>
      </c>
      <c r="B359">
        <v>578401</v>
      </c>
      <c r="C359" t="s">
        <v>10</v>
      </c>
      <c r="D359" s="2">
        <v>689</v>
      </c>
      <c r="E359" s="1">
        <v>43983</v>
      </c>
      <c r="F359">
        <v>1</v>
      </c>
      <c r="G359">
        <v>6</v>
      </c>
      <c r="H359">
        <v>2020</v>
      </c>
      <c r="I359">
        <v>3445</v>
      </c>
      <c r="J359">
        <v>1378</v>
      </c>
      <c r="N359" s="1"/>
    </row>
    <row r="360" spans="1:14">
      <c r="A360">
        <v>3</v>
      </c>
      <c r="B360">
        <v>365552</v>
      </c>
      <c r="C360" t="s">
        <v>10</v>
      </c>
      <c r="D360" s="2">
        <v>1570</v>
      </c>
      <c r="E360" s="1">
        <v>43983</v>
      </c>
      <c r="F360">
        <v>1</v>
      </c>
      <c r="G360">
        <v>6</v>
      </c>
      <c r="H360">
        <v>2020</v>
      </c>
      <c r="I360">
        <v>7850</v>
      </c>
      <c r="J360">
        <v>3140</v>
      </c>
      <c r="N360" s="1"/>
    </row>
    <row r="361" spans="1:14">
      <c r="A361">
        <v>4</v>
      </c>
      <c r="B361">
        <v>560581</v>
      </c>
      <c r="C361" t="s">
        <v>10</v>
      </c>
      <c r="D361" s="2">
        <v>991</v>
      </c>
      <c r="E361" s="1">
        <v>43983</v>
      </c>
      <c r="F361">
        <v>1</v>
      </c>
      <c r="G361">
        <v>6</v>
      </c>
      <c r="H361">
        <v>2020</v>
      </c>
      <c r="I361">
        <v>4955</v>
      </c>
      <c r="J361">
        <v>1982</v>
      </c>
      <c r="N361" s="1"/>
    </row>
    <row r="362" spans="1:14">
      <c r="A362">
        <v>2</v>
      </c>
      <c r="B362">
        <v>369627</v>
      </c>
      <c r="C362" t="s">
        <v>10</v>
      </c>
      <c r="D362" s="2">
        <v>602</v>
      </c>
      <c r="E362" s="1">
        <v>43983</v>
      </c>
      <c r="F362">
        <v>1</v>
      </c>
      <c r="G362">
        <v>6</v>
      </c>
      <c r="H362">
        <v>2020</v>
      </c>
      <c r="I362">
        <v>3010</v>
      </c>
      <c r="J362">
        <v>1204</v>
      </c>
      <c r="N362" s="1"/>
    </row>
    <row r="363" spans="1:14">
      <c r="A363">
        <v>3</v>
      </c>
      <c r="B363">
        <v>568366</v>
      </c>
      <c r="C363" t="s">
        <v>10</v>
      </c>
      <c r="D363" s="2">
        <v>1496</v>
      </c>
      <c r="E363" s="1">
        <v>43983</v>
      </c>
      <c r="F363">
        <v>1</v>
      </c>
      <c r="G363">
        <v>6</v>
      </c>
      <c r="H363">
        <v>2020</v>
      </c>
      <c r="I363">
        <v>7480</v>
      </c>
      <c r="J363">
        <v>2992</v>
      </c>
      <c r="N363" s="1"/>
    </row>
    <row r="364" spans="1:14">
      <c r="A364">
        <v>1</v>
      </c>
      <c r="B364">
        <v>807061</v>
      </c>
      <c r="C364" t="s">
        <v>10</v>
      </c>
      <c r="D364" s="2">
        <v>448</v>
      </c>
      <c r="E364" s="1">
        <v>43983</v>
      </c>
      <c r="F364">
        <v>1</v>
      </c>
      <c r="G364">
        <v>6</v>
      </c>
      <c r="H364">
        <v>2020</v>
      </c>
      <c r="I364">
        <v>2240</v>
      </c>
      <c r="J364">
        <v>896</v>
      </c>
      <c r="N364" s="1"/>
    </row>
    <row r="365" spans="1:14">
      <c r="A365">
        <v>3</v>
      </c>
      <c r="B365">
        <v>418690</v>
      </c>
      <c r="C365" t="s">
        <v>10</v>
      </c>
      <c r="D365" s="2">
        <v>1366</v>
      </c>
      <c r="E365" s="1">
        <v>43983</v>
      </c>
      <c r="F365">
        <v>1</v>
      </c>
      <c r="G365">
        <v>6</v>
      </c>
      <c r="H365">
        <v>2020</v>
      </c>
      <c r="I365">
        <v>6830</v>
      </c>
      <c r="J365">
        <v>2732</v>
      </c>
      <c r="N365" s="1"/>
    </row>
    <row r="366" spans="1:14">
      <c r="A366">
        <v>3</v>
      </c>
      <c r="B366">
        <v>496123</v>
      </c>
      <c r="C366" t="s">
        <v>10</v>
      </c>
      <c r="D366" s="2">
        <v>2460</v>
      </c>
      <c r="E366" s="1">
        <v>43983</v>
      </c>
      <c r="F366">
        <v>1</v>
      </c>
      <c r="G366">
        <v>6</v>
      </c>
      <c r="H366">
        <v>2020</v>
      </c>
      <c r="I366">
        <v>12300</v>
      </c>
      <c r="J366">
        <v>4920</v>
      </c>
      <c r="N366" s="1"/>
    </row>
    <row r="367" spans="1:14">
      <c r="A367">
        <v>5</v>
      </c>
      <c r="B367">
        <v>529578</v>
      </c>
      <c r="C367" t="s">
        <v>10</v>
      </c>
      <c r="D367" s="2">
        <v>1094</v>
      </c>
      <c r="E367" s="1">
        <v>43983</v>
      </c>
      <c r="F367">
        <v>1</v>
      </c>
      <c r="G367">
        <v>6</v>
      </c>
      <c r="H367">
        <v>2020</v>
      </c>
      <c r="I367">
        <v>5470</v>
      </c>
      <c r="J367">
        <v>2188</v>
      </c>
      <c r="N367" s="1"/>
    </row>
    <row r="368" spans="1:14">
      <c r="A368">
        <v>4</v>
      </c>
      <c r="B368">
        <v>429472</v>
      </c>
      <c r="C368" t="s">
        <v>10</v>
      </c>
      <c r="D368" s="2">
        <v>1038</v>
      </c>
      <c r="E368" s="1">
        <v>43983</v>
      </c>
      <c r="F368">
        <v>1</v>
      </c>
      <c r="G368">
        <v>6</v>
      </c>
      <c r="H368">
        <v>2020</v>
      </c>
      <c r="I368">
        <v>5190</v>
      </c>
      <c r="J368">
        <v>2076</v>
      </c>
      <c r="N368" s="1"/>
    </row>
    <row r="369" spans="1:14">
      <c r="A369">
        <v>5</v>
      </c>
      <c r="B369">
        <v>249663</v>
      </c>
      <c r="C369" t="s">
        <v>10</v>
      </c>
      <c r="D369" s="2">
        <v>886</v>
      </c>
      <c r="E369" s="1">
        <v>43983</v>
      </c>
      <c r="F369">
        <v>1</v>
      </c>
      <c r="G369">
        <v>6</v>
      </c>
      <c r="H369">
        <v>2020</v>
      </c>
      <c r="I369">
        <v>4430</v>
      </c>
      <c r="J369">
        <v>1772</v>
      </c>
      <c r="N369" s="1"/>
    </row>
    <row r="370" spans="1:14">
      <c r="A370">
        <v>2</v>
      </c>
      <c r="B370">
        <v>123693</v>
      </c>
      <c r="C370" t="s">
        <v>10</v>
      </c>
      <c r="D370" s="2">
        <v>2632</v>
      </c>
      <c r="E370" s="1">
        <v>43983</v>
      </c>
      <c r="F370">
        <v>1</v>
      </c>
      <c r="G370">
        <v>6</v>
      </c>
      <c r="H370">
        <v>2020</v>
      </c>
      <c r="I370">
        <v>13160</v>
      </c>
      <c r="J370">
        <v>5264</v>
      </c>
      <c r="N370" s="1"/>
    </row>
    <row r="371" spans="1:14">
      <c r="A371">
        <v>4</v>
      </c>
      <c r="B371">
        <v>670662</v>
      </c>
      <c r="C371" t="s">
        <v>10</v>
      </c>
      <c r="D371" s="2">
        <v>1583</v>
      </c>
      <c r="E371" s="1">
        <v>43983</v>
      </c>
      <c r="F371">
        <v>1</v>
      </c>
      <c r="G371">
        <v>6</v>
      </c>
      <c r="H371">
        <v>2020</v>
      </c>
      <c r="I371">
        <v>7915</v>
      </c>
      <c r="J371">
        <v>3166</v>
      </c>
      <c r="N371" s="1"/>
    </row>
    <row r="372" spans="1:14">
      <c r="A372">
        <v>3</v>
      </c>
      <c r="B372">
        <v>830805</v>
      </c>
      <c r="C372" t="s">
        <v>11</v>
      </c>
      <c r="D372" s="2">
        <v>2518</v>
      </c>
      <c r="E372" s="1">
        <v>43983</v>
      </c>
      <c r="F372">
        <v>1</v>
      </c>
      <c r="G372">
        <v>6</v>
      </c>
      <c r="H372">
        <v>2020</v>
      </c>
      <c r="I372">
        <v>2518</v>
      </c>
      <c r="J372">
        <v>1259</v>
      </c>
      <c r="N372" s="1"/>
    </row>
    <row r="373" spans="1:14">
      <c r="A373">
        <v>5</v>
      </c>
      <c r="B373">
        <v>138739</v>
      </c>
      <c r="C373" t="s">
        <v>11</v>
      </c>
      <c r="D373" s="2">
        <v>1899</v>
      </c>
      <c r="E373" s="1">
        <v>43983</v>
      </c>
      <c r="F373">
        <v>1</v>
      </c>
      <c r="G373">
        <v>6</v>
      </c>
      <c r="H373">
        <v>2020</v>
      </c>
      <c r="I373">
        <v>1899</v>
      </c>
      <c r="J373">
        <v>949.5</v>
      </c>
      <c r="N373" s="1"/>
    </row>
    <row r="374" spans="1:14">
      <c r="A374">
        <v>2</v>
      </c>
      <c r="B374">
        <v>830819</v>
      </c>
      <c r="C374" t="s">
        <v>11</v>
      </c>
      <c r="D374" s="2">
        <v>1545</v>
      </c>
      <c r="E374" s="1">
        <v>43983</v>
      </c>
      <c r="F374">
        <v>1</v>
      </c>
      <c r="G374">
        <v>6</v>
      </c>
      <c r="H374">
        <v>2020</v>
      </c>
      <c r="I374">
        <v>1545</v>
      </c>
      <c r="J374">
        <v>772.5</v>
      </c>
      <c r="N374" s="1"/>
    </row>
    <row r="375" spans="1:14">
      <c r="A375">
        <v>4</v>
      </c>
      <c r="B375">
        <v>249098</v>
      </c>
      <c r="C375" t="s">
        <v>11</v>
      </c>
      <c r="D375" s="2">
        <v>2470</v>
      </c>
      <c r="E375" s="1">
        <v>43983</v>
      </c>
      <c r="F375">
        <v>1</v>
      </c>
      <c r="G375">
        <v>6</v>
      </c>
      <c r="H375">
        <v>2020</v>
      </c>
      <c r="I375">
        <v>2470</v>
      </c>
      <c r="J375">
        <v>1235</v>
      </c>
      <c r="N375" s="1"/>
    </row>
    <row r="376" spans="1:14">
      <c r="A376">
        <v>3</v>
      </c>
      <c r="B376">
        <v>652401</v>
      </c>
      <c r="C376" t="s">
        <v>11</v>
      </c>
      <c r="D376" s="2">
        <v>1142</v>
      </c>
      <c r="E376" s="1">
        <v>43983</v>
      </c>
      <c r="F376">
        <v>1</v>
      </c>
      <c r="G376">
        <v>6</v>
      </c>
      <c r="H376">
        <v>2020</v>
      </c>
      <c r="I376">
        <v>1142</v>
      </c>
      <c r="J376">
        <v>571</v>
      </c>
      <c r="N376" s="1"/>
    </row>
    <row r="377" spans="1:14">
      <c r="A377">
        <v>2</v>
      </c>
      <c r="B377">
        <v>445507</v>
      </c>
      <c r="C377" t="s">
        <v>11</v>
      </c>
      <c r="D377" s="2">
        <v>1901</v>
      </c>
      <c r="E377" s="1">
        <v>43983</v>
      </c>
      <c r="F377">
        <v>1</v>
      </c>
      <c r="G377">
        <v>6</v>
      </c>
      <c r="H377">
        <v>2020</v>
      </c>
      <c r="I377">
        <v>1901</v>
      </c>
      <c r="J377">
        <v>950.5</v>
      </c>
      <c r="N377" s="1"/>
    </row>
    <row r="378" spans="1:14">
      <c r="A378">
        <v>1</v>
      </c>
      <c r="B378">
        <v>173001</v>
      </c>
      <c r="C378" t="s">
        <v>11</v>
      </c>
      <c r="D378" s="2">
        <v>1282</v>
      </c>
      <c r="E378" s="1">
        <v>43983</v>
      </c>
      <c r="F378">
        <v>1</v>
      </c>
      <c r="G378">
        <v>6</v>
      </c>
      <c r="H378">
        <v>2020</v>
      </c>
      <c r="I378">
        <v>1282</v>
      </c>
      <c r="J378">
        <v>641</v>
      </c>
      <c r="N378" s="1"/>
    </row>
    <row r="379" spans="1:14">
      <c r="A379">
        <v>5</v>
      </c>
      <c r="B379">
        <v>123331</v>
      </c>
      <c r="C379" t="s">
        <v>11</v>
      </c>
      <c r="D379" s="2">
        <v>708</v>
      </c>
      <c r="E379" s="1">
        <v>43983</v>
      </c>
      <c r="F379">
        <v>1</v>
      </c>
      <c r="G379">
        <v>6</v>
      </c>
      <c r="H379">
        <v>2020</v>
      </c>
      <c r="I379">
        <v>708</v>
      </c>
      <c r="J379">
        <v>354</v>
      </c>
      <c r="N379" s="1"/>
    </row>
    <row r="380" spans="1:14">
      <c r="A380">
        <v>5</v>
      </c>
      <c r="B380">
        <v>280321</v>
      </c>
      <c r="C380" t="s">
        <v>11</v>
      </c>
      <c r="D380" s="2">
        <v>604</v>
      </c>
      <c r="E380" s="1">
        <v>43983</v>
      </c>
      <c r="F380">
        <v>1</v>
      </c>
      <c r="G380">
        <v>6</v>
      </c>
      <c r="H380">
        <v>2020</v>
      </c>
      <c r="I380">
        <v>604</v>
      </c>
      <c r="J380">
        <v>302</v>
      </c>
      <c r="N380" s="1"/>
    </row>
    <row r="381" spans="1:14">
      <c r="A381">
        <v>3</v>
      </c>
      <c r="B381">
        <v>609228</v>
      </c>
      <c r="C381" t="s">
        <v>12</v>
      </c>
      <c r="D381" s="2">
        <v>1899</v>
      </c>
      <c r="E381" s="1">
        <v>43983</v>
      </c>
      <c r="F381">
        <v>1</v>
      </c>
      <c r="G381">
        <v>6</v>
      </c>
      <c r="H381">
        <v>2020</v>
      </c>
      <c r="I381">
        <v>9495</v>
      </c>
      <c r="J381">
        <v>4177.8</v>
      </c>
      <c r="N381" s="1"/>
    </row>
    <row r="382" spans="1:14">
      <c r="A382">
        <v>5</v>
      </c>
      <c r="B382">
        <v>691342</v>
      </c>
      <c r="C382" t="s">
        <v>12</v>
      </c>
      <c r="D382" s="2">
        <v>1135</v>
      </c>
      <c r="E382" s="1">
        <v>43983</v>
      </c>
      <c r="F382">
        <v>1</v>
      </c>
      <c r="G382">
        <v>6</v>
      </c>
      <c r="H382">
        <v>2020</v>
      </c>
      <c r="I382">
        <v>5675</v>
      </c>
      <c r="J382">
        <v>2497</v>
      </c>
      <c r="N382" s="1"/>
    </row>
    <row r="383" spans="1:14">
      <c r="A383">
        <v>3</v>
      </c>
      <c r="B383">
        <v>786700</v>
      </c>
      <c r="C383" t="s">
        <v>12</v>
      </c>
      <c r="D383" s="2">
        <v>1282</v>
      </c>
      <c r="E383" s="1">
        <v>43983</v>
      </c>
      <c r="F383">
        <v>1</v>
      </c>
      <c r="G383">
        <v>6</v>
      </c>
      <c r="H383">
        <v>2020</v>
      </c>
      <c r="I383">
        <v>6410</v>
      </c>
      <c r="J383">
        <v>2820.4</v>
      </c>
      <c r="N383" s="1"/>
    </row>
    <row r="384" spans="1:14">
      <c r="A384">
        <v>4</v>
      </c>
      <c r="B384">
        <v>137921</v>
      </c>
      <c r="C384" t="s">
        <v>12</v>
      </c>
      <c r="D384" s="2">
        <v>708</v>
      </c>
      <c r="E384" s="1">
        <v>43983</v>
      </c>
      <c r="F384">
        <v>1</v>
      </c>
      <c r="G384">
        <v>6</v>
      </c>
      <c r="H384">
        <v>2020</v>
      </c>
      <c r="I384">
        <v>3540</v>
      </c>
      <c r="J384">
        <v>1557.6000000000001</v>
      </c>
      <c r="N384" s="1"/>
    </row>
    <row r="385" spans="1:14">
      <c r="A385">
        <v>3</v>
      </c>
      <c r="B385">
        <v>755930</v>
      </c>
      <c r="C385" t="s">
        <v>12</v>
      </c>
      <c r="D385" s="2">
        <v>2907</v>
      </c>
      <c r="E385" s="1">
        <v>43983</v>
      </c>
      <c r="F385">
        <v>1</v>
      </c>
      <c r="G385">
        <v>6</v>
      </c>
      <c r="H385">
        <v>2020</v>
      </c>
      <c r="I385">
        <v>14535</v>
      </c>
      <c r="J385">
        <v>6395.4000000000005</v>
      </c>
      <c r="N385" s="1"/>
    </row>
    <row r="386" spans="1:14">
      <c r="A386">
        <v>3</v>
      </c>
      <c r="B386">
        <v>277131</v>
      </c>
      <c r="C386" t="s">
        <v>12</v>
      </c>
      <c r="D386" s="2">
        <v>1366</v>
      </c>
      <c r="E386" s="1">
        <v>43983</v>
      </c>
      <c r="F386">
        <v>1</v>
      </c>
      <c r="G386">
        <v>6</v>
      </c>
      <c r="H386">
        <v>2020</v>
      </c>
      <c r="I386">
        <v>6830</v>
      </c>
      <c r="J386">
        <v>3005.2000000000003</v>
      </c>
      <c r="N386" s="1"/>
    </row>
    <row r="387" spans="1:14">
      <c r="A387">
        <v>3</v>
      </c>
      <c r="B387">
        <v>235897</v>
      </c>
      <c r="C387" t="s">
        <v>12</v>
      </c>
      <c r="D387" s="2">
        <v>2460</v>
      </c>
      <c r="E387" s="1">
        <v>43983</v>
      </c>
      <c r="F387">
        <v>1</v>
      </c>
      <c r="G387">
        <v>6</v>
      </c>
      <c r="H387">
        <v>2020</v>
      </c>
      <c r="I387">
        <v>12300</v>
      </c>
      <c r="J387">
        <v>5412</v>
      </c>
      <c r="N387" s="1"/>
    </row>
    <row r="388" spans="1:14">
      <c r="A388">
        <v>3</v>
      </c>
      <c r="B388">
        <v>842675</v>
      </c>
      <c r="C388" t="s">
        <v>12</v>
      </c>
      <c r="D388" s="2">
        <v>1038</v>
      </c>
      <c r="E388" s="1">
        <v>43983</v>
      </c>
      <c r="F388">
        <v>1</v>
      </c>
      <c r="G388">
        <v>6</v>
      </c>
      <c r="H388">
        <v>2020</v>
      </c>
      <c r="I388">
        <v>5190</v>
      </c>
      <c r="J388">
        <v>2283.6000000000004</v>
      </c>
      <c r="N388" s="1"/>
    </row>
    <row r="389" spans="1:14">
      <c r="A389">
        <v>3</v>
      </c>
      <c r="B389">
        <v>479703</v>
      </c>
      <c r="C389" t="s">
        <v>12</v>
      </c>
      <c r="D389" s="2">
        <v>1190</v>
      </c>
      <c r="E389" s="1">
        <v>43983</v>
      </c>
      <c r="F389">
        <v>1</v>
      </c>
      <c r="G389">
        <v>6</v>
      </c>
      <c r="H389">
        <v>2020</v>
      </c>
      <c r="I389">
        <v>5950</v>
      </c>
      <c r="J389">
        <v>2618</v>
      </c>
      <c r="N389" s="1"/>
    </row>
    <row r="390" spans="1:14">
      <c r="A390">
        <v>5</v>
      </c>
      <c r="B390">
        <v>649737</v>
      </c>
      <c r="C390" t="s">
        <v>13</v>
      </c>
      <c r="D390" s="2">
        <v>2178</v>
      </c>
      <c r="E390" s="1">
        <v>43983</v>
      </c>
      <c r="F390">
        <v>1</v>
      </c>
      <c r="G390">
        <v>6</v>
      </c>
      <c r="H390">
        <v>2020</v>
      </c>
      <c r="I390">
        <v>8712</v>
      </c>
      <c r="J390">
        <v>3267</v>
      </c>
      <c r="N390" s="1"/>
    </row>
    <row r="391" spans="1:14">
      <c r="A391">
        <v>3</v>
      </c>
      <c r="B391">
        <v>361699</v>
      </c>
      <c r="C391" t="s">
        <v>13</v>
      </c>
      <c r="D391" s="2">
        <v>888</v>
      </c>
      <c r="E391" s="1">
        <v>43983</v>
      </c>
      <c r="F391">
        <v>1</v>
      </c>
      <c r="G391">
        <v>6</v>
      </c>
      <c r="H391">
        <v>2020</v>
      </c>
      <c r="I391">
        <v>3552</v>
      </c>
      <c r="J391">
        <v>1332</v>
      </c>
      <c r="N391" s="1"/>
    </row>
    <row r="392" spans="1:14">
      <c r="A392">
        <v>1</v>
      </c>
      <c r="B392">
        <v>293680</v>
      </c>
      <c r="C392" t="s">
        <v>13</v>
      </c>
      <c r="D392" s="2">
        <v>2470</v>
      </c>
      <c r="E392" s="1">
        <v>43983</v>
      </c>
      <c r="F392">
        <v>1</v>
      </c>
      <c r="G392">
        <v>6</v>
      </c>
      <c r="H392">
        <v>2020</v>
      </c>
      <c r="I392">
        <v>9880</v>
      </c>
      <c r="J392">
        <v>3705</v>
      </c>
      <c r="N392" s="1"/>
    </row>
    <row r="393" spans="1:14">
      <c r="A393">
        <v>3</v>
      </c>
      <c r="B393">
        <v>745878</v>
      </c>
      <c r="C393" t="s">
        <v>13</v>
      </c>
      <c r="D393" s="2">
        <v>689</v>
      </c>
      <c r="E393" s="1">
        <v>43983</v>
      </c>
      <c r="F393">
        <v>1</v>
      </c>
      <c r="G393">
        <v>6</v>
      </c>
      <c r="H393">
        <v>2020</v>
      </c>
      <c r="I393">
        <v>2756</v>
      </c>
      <c r="J393">
        <v>1033.5</v>
      </c>
      <c r="N393" s="1"/>
    </row>
    <row r="394" spans="1:14">
      <c r="A394">
        <v>1</v>
      </c>
      <c r="B394">
        <v>551997</v>
      </c>
      <c r="C394" t="s">
        <v>13</v>
      </c>
      <c r="D394" s="2">
        <v>991</v>
      </c>
      <c r="E394" s="1">
        <v>43983</v>
      </c>
      <c r="F394">
        <v>1</v>
      </c>
      <c r="G394">
        <v>6</v>
      </c>
      <c r="H394">
        <v>2020</v>
      </c>
      <c r="I394">
        <v>3964</v>
      </c>
      <c r="J394">
        <v>1486.5</v>
      </c>
      <c r="N394" s="1"/>
    </row>
    <row r="395" spans="1:14">
      <c r="A395">
        <v>2</v>
      </c>
      <c r="B395">
        <v>779393</v>
      </c>
      <c r="C395" t="s">
        <v>13</v>
      </c>
      <c r="D395" s="2">
        <v>2844</v>
      </c>
      <c r="E395" s="1">
        <v>43983</v>
      </c>
      <c r="F395">
        <v>1</v>
      </c>
      <c r="G395">
        <v>6</v>
      </c>
      <c r="H395">
        <v>2020</v>
      </c>
      <c r="I395">
        <v>11376</v>
      </c>
      <c r="J395">
        <v>4266</v>
      </c>
      <c r="N395" s="1"/>
    </row>
    <row r="396" spans="1:14">
      <c r="A396">
        <v>5</v>
      </c>
      <c r="B396">
        <v>115306</v>
      </c>
      <c r="C396" t="s">
        <v>13</v>
      </c>
      <c r="D396" s="2">
        <v>448</v>
      </c>
      <c r="E396" s="1">
        <v>43983</v>
      </c>
      <c r="F396">
        <v>1</v>
      </c>
      <c r="G396">
        <v>6</v>
      </c>
      <c r="H396">
        <v>2020</v>
      </c>
      <c r="I396">
        <v>1792</v>
      </c>
      <c r="J396">
        <v>672</v>
      </c>
      <c r="N396" s="1"/>
    </row>
    <row r="397" spans="1:14">
      <c r="A397">
        <v>3</v>
      </c>
      <c r="B397">
        <v>629559</v>
      </c>
      <c r="C397" t="s">
        <v>13</v>
      </c>
      <c r="D397" s="2">
        <v>1094</v>
      </c>
      <c r="E397" s="1">
        <v>43983</v>
      </c>
      <c r="F397">
        <v>1</v>
      </c>
      <c r="G397">
        <v>6</v>
      </c>
      <c r="H397">
        <v>2020</v>
      </c>
      <c r="I397">
        <v>4376</v>
      </c>
      <c r="J397">
        <v>1641</v>
      </c>
      <c r="N397" s="1"/>
    </row>
    <row r="398" spans="1:14">
      <c r="A398">
        <v>4</v>
      </c>
      <c r="B398">
        <v>533938</v>
      </c>
      <c r="C398" t="s">
        <v>13</v>
      </c>
      <c r="D398" s="2">
        <v>886</v>
      </c>
      <c r="E398" s="1">
        <v>43983</v>
      </c>
      <c r="F398">
        <v>1</v>
      </c>
      <c r="G398">
        <v>6</v>
      </c>
      <c r="H398">
        <v>2020</v>
      </c>
      <c r="I398">
        <v>3544</v>
      </c>
      <c r="J398">
        <v>1329</v>
      </c>
      <c r="N398" s="1"/>
    </row>
    <row r="399" spans="1:14">
      <c r="A399">
        <v>5</v>
      </c>
      <c r="B399">
        <v>759173</v>
      </c>
      <c r="C399" t="s">
        <v>13</v>
      </c>
      <c r="D399" s="2">
        <v>2567</v>
      </c>
      <c r="E399" s="1">
        <v>43983</v>
      </c>
      <c r="F399">
        <v>1</v>
      </c>
      <c r="G399">
        <v>6</v>
      </c>
      <c r="H399">
        <v>2020</v>
      </c>
      <c r="I399">
        <v>10268</v>
      </c>
      <c r="J399">
        <v>3850.5</v>
      </c>
      <c r="N399" s="1"/>
    </row>
    <row r="400" spans="1:14">
      <c r="A400">
        <v>2</v>
      </c>
      <c r="B400">
        <v>246621</v>
      </c>
      <c r="C400" t="s">
        <v>14</v>
      </c>
      <c r="D400" s="2">
        <v>2178</v>
      </c>
      <c r="E400" s="1">
        <v>43983</v>
      </c>
      <c r="F400">
        <v>1</v>
      </c>
      <c r="G400">
        <v>6</v>
      </c>
      <c r="H400">
        <v>2020</v>
      </c>
      <c r="I400">
        <v>6534</v>
      </c>
      <c r="J400">
        <v>2722.5</v>
      </c>
      <c r="N400" s="1"/>
    </row>
    <row r="401" spans="1:14">
      <c r="A401">
        <v>3</v>
      </c>
      <c r="B401">
        <v>641259</v>
      </c>
      <c r="C401" t="s">
        <v>14</v>
      </c>
      <c r="D401" s="2">
        <v>888</v>
      </c>
      <c r="E401" s="1">
        <v>43983</v>
      </c>
      <c r="F401">
        <v>1</v>
      </c>
      <c r="G401">
        <v>6</v>
      </c>
      <c r="H401">
        <v>2020</v>
      </c>
      <c r="I401">
        <v>2664</v>
      </c>
      <c r="J401">
        <v>1110</v>
      </c>
      <c r="N401" s="1"/>
    </row>
    <row r="402" spans="1:14">
      <c r="A402">
        <v>1</v>
      </c>
      <c r="B402">
        <v>327845</v>
      </c>
      <c r="C402" t="s">
        <v>14</v>
      </c>
      <c r="D402" s="2">
        <v>727</v>
      </c>
      <c r="E402" s="1">
        <v>43983</v>
      </c>
      <c r="F402">
        <v>1</v>
      </c>
      <c r="G402">
        <v>6</v>
      </c>
      <c r="H402">
        <v>2020</v>
      </c>
      <c r="I402">
        <v>2181</v>
      </c>
      <c r="J402">
        <v>908.75</v>
      </c>
      <c r="N402" s="1"/>
    </row>
    <row r="403" spans="1:14">
      <c r="A403">
        <v>3</v>
      </c>
      <c r="B403">
        <v>460452</v>
      </c>
      <c r="C403" t="s">
        <v>14</v>
      </c>
      <c r="D403" s="2">
        <v>787</v>
      </c>
      <c r="E403" s="1">
        <v>43983</v>
      </c>
      <c r="F403">
        <v>1</v>
      </c>
      <c r="G403">
        <v>6</v>
      </c>
      <c r="H403">
        <v>2020</v>
      </c>
      <c r="I403">
        <v>2361</v>
      </c>
      <c r="J403">
        <v>983.75</v>
      </c>
      <c r="N403" s="1"/>
    </row>
    <row r="404" spans="1:14">
      <c r="A404">
        <v>5</v>
      </c>
      <c r="B404">
        <v>160577</v>
      </c>
      <c r="C404" t="s">
        <v>14</v>
      </c>
      <c r="D404" s="2">
        <v>662</v>
      </c>
      <c r="E404" s="1">
        <v>43983</v>
      </c>
      <c r="F404">
        <v>1</v>
      </c>
      <c r="G404">
        <v>6</v>
      </c>
      <c r="H404">
        <v>2020</v>
      </c>
      <c r="I404">
        <v>1986</v>
      </c>
      <c r="J404">
        <v>827.5</v>
      </c>
      <c r="N404" s="1"/>
    </row>
    <row r="405" spans="1:14">
      <c r="A405">
        <v>2</v>
      </c>
      <c r="B405">
        <v>358173</v>
      </c>
      <c r="C405" t="s">
        <v>14</v>
      </c>
      <c r="D405" s="2">
        <v>1570</v>
      </c>
      <c r="E405" s="1">
        <v>43983</v>
      </c>
      <c r="F405">
        <v>1</v>
      </c>
      <c r="G405">
        <v>6</v>
      </c>
      <c r="H405">
        <v>2020</v>
      </c>
      <c r="I405">
        <v>4710</v>
      </c>
      <c r="J405">
        <v>1962.5</v>
      </c>
      <c r="N405" s="1"/>
    </row>
    <row r="406" spans="1:14">
      <c r="A406">
        <v>2</v>
      </c>
      <c r="B406">
        <v>701669</v>
      </c>
      <c r="C406" t="s">
        <v>14</v>
      </c>
      <c r="D406" s="2">
        <v>2844</v>
      </c>
      <c r="E406" s="1">
        <v>43983</v>
      </c>
      <c r="F406">
        <v>1</v>
      </c>
      <c r="G406">
        <v>6</v>
      </c>
      <c r="H406">
        <v>2020</v>
      </c>
      <c r="I406">
        <v>8532</v>
      </c>
      <c r="J406">
        <v>3555</v>
      </c>
      <c r="N406" s="1"/>
    </row>
    <row r="407" spans="1:14">
      <c r="A407">
        <v>5</v>
      </c>
      <c r="B407">
        <v>721252</v>
      </c>
      <c r="C407" t="s">
        <v>14</v>
      </c>
      <c r="D407" s="2">
        <v>1498</v>
      </c>
      <c r="E407" s="1">
        <v>43983</v>
      </c>
      <c r="F407">
        <v>1</v>
      </c>
      <c r="G407">
        <v>6</v>
      </c>
      <c r="H407">
        <v>2020</v>
      </c>
      <c r="I407">
        <v>4494</v>
      </c>
      <c r="J407">
        <v>1872.5</v>
      </c>
      <c r="N407" s="1"/>
    </row>
    <row r="408" spans="1:14">
      <c r="A408">
        <v>3</v>
      </c>
      <c r="B408">
        <v>406234</v>
      </c>
      <c r="C408" t="s">
        <v>14</v>
      </c>
      <c r="D408" s="2">
        <v>2338</v>
      </c>
      <c r="E408" s="1">
        <v>43983</v>
      </c>
      <c r="F408">
        <v>1</v>
      </c>
      <c r="G408">
        <v>6</v>
      </c>
      <c r="H408">
        <v>2020</v>
      </c>
      <c r="I408">
        <v>7014</v>
      </c>
      <c r="J408">
        <v>2922.5</v>
      </c>
      <c r="N408" s="1"/>
    </row>
    <row r="409" spans="1:14">
      <c r="A409">
        <v>2</v>
      </c>
      <c r="B409">
        <v>384410</v>
      </c>
      <c r="C409" t="s">
        <v>14</v>
      </c>
      <c r="D409" s="2">
        <v>2567</v>
      </c>
      <c r="E409" s="1">
        <v>43983</v>
      </c>
      <c r="F409">
        <v>1</v>
      </c>
      <c r="G409">
        <v>6</v>
      </c>
      <c r="H409">
        <v>2020</v>
      </c>
      <c r="I409">
        <v>7701</v>
      </c>
      <c r="J409">
        <v>3208.75</v>
      </c>
      <c r="N409" s="1"/>
    </row>
    <row r="410" spans="1:14">
      <c r="A410">
        <v>2</v>
      </c>
      <c r="B410">
        <v>561318</v>
      </c>
      <c r="C410" t="s">
        <v>14</v>
      </c>
      <c r="D410" s="2">
        <v>1583</v>
      </c>
      <c r="E410" s="1">
        <v>43983</v>
      </c>
      <c r="F410">
        <v>1</v>
      </c>
      <c r="G410">
        <v>6</v>
      </c>
      <c r="H410">
        <v>2020</v>
      </c>
      <c r="I410">
        <v>4749</v>
      </c>
      <c r="J410">
        <v>1978.75</v>
      </c>
      <c r="N410" s="1"/>
    </row>
    <row r="411" spans="1:14">
      <c r="A411">
        <v>4</v>
      </c>
      <c r="B411">
        <v>552346</v>
      </c>
      <c r="C411" t="s">
        <v>15</v>
      </c>
      <c r="D411" s="2">
        <v>1006</v>
      </c>
      <c r="E411" s="1">
        <v>43983</v>
      </c>
      <c r="F411">
        <v>1</v>
      </c>
      <c r="G411">
        <v>6</v>
      </c>
      <c r="H411">
        <v>2020</v>
      </c>
      <c r="I411">
        <v>6036</v>
      </c>
      <c r="J411">
        <v>2766.5</v>
      </c>
      <c r="N411" s="1"/>
    </row>
    <row r="412" spans="1:14">
      <c r="A412">
        <v>1</v>
      </c>
      <c r="B412">
        <v>643742</v>
      </c>
      <c r="C412" t="s">
        <v>15</v>
      </c>
      <c r="D412" s="2">
        <v>1545</v>
      </c>
      <c r="E412" s="1">
        <v>43983</v>
      </c>
      <c r="F412">
        <v>1</v>
      </c>
      <c r="G412">
        <v>6</v>
      </c>
      <c r="H412">
        <v>2020</v>
      </c>
      <c r="I412">
        <v>9270</v>
      </c>
      <c r="J412">
        <v>4248.75</v>
      </c>
      <c r="N412" s="1"/>
    </row>
    <row r="413" spans="1:14">
      <c r="A413">
        <v>4</v>
      </c>
      <c r="B413">
        <v>192398</v>
      </c>
      <c r="C413" t="s">
        <v>15</v>
      </c>
      <c r="D413" s="2">
        <v>602</v>
      </c>
      <c r="E413" s="1">
        <v>43983</v>
      </c>
      <c r="F413">
        <v>1</v>
      </c>
      <c r="G413">
        <v>6</v>
      </c>
      <c r="H413">
        <v>2020</v>
      </c>
      <c r="I413">
        <v>3612</v>
      </c>
      <c r="J413">
        <v>1655.5</v>
      </c>
      <c r="N413" s="1"/>
    </row>
    <row r="414" spans="1:14">
      <c r="A414">
        <v>2</v>
      </c>
      <c r="B414">
        <v>250308</v>
      </c>
      <c r="C414" t="s">
        <v>15</v>
      </c>
      <c r="D414" s="2">
        <v>1496</v>
      </c>
      <c r="E414" s="1">
        <v>43983</v>
      </c>
      <c r="F414">
        <v>1</v>
      </c>
      <c r="G414">
        <v>6</v>
      </c>
      <c r="H414">
        <v>2020</v>
      </c>
      <c r="I414">
        <v>8976</v>
      </c>
      <c r="J414">
        <v>4114</v>
      </c>
      <c r="N414" s="1"/>
    </row>
    <row r="415" spans="1:14">
      <c r="A415">
        <v>3</v>
      </c>
      <c r="B415">
        <v>625104</v>
      </c>
      <c r="C415" t="s">
        <v>15</v>
      </c>
      <c r="D415" s="2">
        <v>1498</v>
      </c>
      <c r="E415" s="1">
        <v>43983</v>
      </c>
      <c r="F415">
        <v>1</v>
      </c>
      <c r="G415">
        <v>6</v>
      </c>
      <c r="H415">
        <v>2020</v>
      </c>
      <c r="I415">
        <v>8988</v>
      </c>
      <c r="J415">
        <v>4119.5</v>
      </c>
      <c r="N415" s="1"/>
    </row>
    <row r="416" spans="1:14">
      <c r="A416">
        <v>3</v>
      </c>
      <c r="B416">
        <v>223911</v>
      </c>
      <c r="C416" t="s">
        <v>15</v>
      </c>
      <c r="D416" s="2">
        <v>1135</v>
      </c>
      <c r="E416" s="1">
        <v>43983</v>
      </c>
      <c r="F416">
        <v>1</v>
      </c>
      <c r="G416">
        <v>6</v>
      </c>
      <c r="H416">
        <v>2020</v>
      </c>
      <c r="I416">
        <v>6810</v>
      </c>
      <c r="J416">
        <v>3121.25</v>
      </c>
      <c r="N416" s="1"/>
    </row>
    <row r="417" spans="1:14">
      <c r="A417">
        <v>3</v>
      </c>
      <c r="B417">
        <v>567117</v>
      </c>
      <c r="C417" t="s">
        <v>15</v>
      </c>
      <c r="D417" s="2">
        <v>2907</v>
      </c>
      <c r="E417" s="1">
        <v>43983</v>
      </c>
      <c r="F417">
        <v>1</v>
      </c>
      <c r="G417">
        <v>6</v>
      </c>
      <c r="H417">
        <v>2020</v>
      </c>
      <c r="I417">
        <v>17442</v>
      </c>
      <c r="J417">
        <v>7994.25</v>
      </c>
      <c r="N417" s="1"/>
    </row>
    <row r="418" spans="1:14">
      <c r="A418">
        <v>4</v>
      </c>
      <c r="B418">
        <v>507642</v>
      </c>
      <c r="C418" t="s">
        <v>15</v>
      </c>
      <c r="D418" s="2">
        <v>2338</v>
      </c>
      <c r="E418" s="1">
        <v>43983</v>
      </c>
      <c r="F418">
        <v>1</v>
      </c>
      <c r="G418">
        <v>6</v>
      </c>
      <c r="H418">
        <v>2020</v>
      </c>
      <c r="I418">
        <v>14028</v>
      </c>
      <c r="J418">
        <v>6429.5</v>
      </c>
      <c r="N418" s="1"/>
    </row>
    <row r="419" spans="1:14">
      <c r="A419">
        <v>4</v>
      </c>
      <c r="B419">
        <v>488771</v>
      </c>
      <c r="C419" t="s">
        <v>15</v>
      </c>
      <c r="D419" s="2">
        <v>2632</v>
      </c>
      <c r="E419" s="1">
        <v>43983</v>
      </c>
      <c r="F419">
        <v>1</v>
      </c>
      <c r="G419">
        <v>6</v>
      </c>
      <c r="H419">
        <v>2020</v>
      </c>
      <c r="I419">
        <v>15792</v>
      </c>
      <c r="J419">
        <v>7238</v>
      </c>
      <c r="N419" s="1"/>
    </row>
    <row r="420" spans="1:14">
      <c r="A420">
        <v>3</v>
      </c>
      <c r="B420">
        <v>168032</v>
      </c>
      <c r="C420" t="s">
        <v>15</v>
      </c>
      <c r="D420" s="2">
        <v>1190</v>
      </c>
      <c r="E420" s="1">
        <v>43983</v>
      </c>
      <c r="F420">
        <v>1</v>
      </c>
      <c r="G420">
        <v>6</v>
      </c>
      <c r="H420">
        <v>2020</v>
      </c>
      <c r="I420">
        <v>7140</v>
      </c>
      <c r="J420">
        <v>3272.5</v>
      </c>
      <c r="N420" s="1"/>
    </row>
    <row r="421" spans="1:14">
      <c r="A421">
        <v>1</v>
      </c>
      <c r="B421">
        <v>135967</v>
      </c>
      <c r="C421" t="s">
        <v>15</v>
      </c>
      <c r="D421" s="2">
        <v>604</v>
      </c>
      <c r="E421" s="1">
        <v>43983</v>
      </c>
      <c r="F421">
        <v>1</v>
      </c>
      <c r="G421">
        <v>6</v>
      </c>
      <c r="H421">
        <v>2020</v>
      </c>
      <c r="I421">
        <v>3624</v>
      </c>
      <c r="J421">
        <v>1661</v>
      </c>
      <c r="N421" s="1"/>
    </row>
    <row r="422" spans="1:14">
      <c r="A422">
        <v>2</v>
      </c>
      <c r="B422">
        <v>898637</v>
      </c>
      <c r="C422" t="s">
        <v>10</v>
      </c>
      <c r="D422" s="2">
        <v>367</v>
      </c>
      <c r="E422" s="1">
        <v>44013</v>
      </c>
      <c r="F422">
        <v>1</v>
      </c>
      <c r="G422">
        <v>7</v>
      </c>
      <c r="H422">
        <v>2020</v>
      </c>
      <c r="I422">
        <v>1835</v>
      </c>
      <c r="J422">
        <v>734</v>
      </c>
      <c r="N422" s="1"/>
    </row>
    <row r="423" spans="1:14">
      <c r="A423">
        <v>4</v>
      </c>
      <c r="B423">
        <v>534742</v>
      </c>
      <c r="C423" t="s">
        <v>10</v>
      </c>
      <c r="D423" s="2">
        <v>1823</v>
      </c>
      <c r="E423" s="1">
        <v>44013</v>
      </c>
      <c r="F423">
        <v>1</v>
      </c>
      <c r="G423">
        <v>7</v>
      </c>
      <c r="H423">
        <v>2020</v>
      </c>
      <c r="I423">
        <v>9115</v>
      </c>
      <c r="J423">
        <v>3646</v>
      </c>
      <c r="N423" s="1"/>
    </row>
    <row r="424" spans="1:14">
      <c r="A424">
        <v>4</v>
      </c>
      <c r="B424">
        <v>713958</v>
      </c>
      <c r="C424" t="s">
        <v>10</v>
      </c>
      <c r="D424" s="2">
        <v>1369.5</v>
      </c>
      <c r="E424" s="1">
        <v>44013</v>
      </c>
      <c r="F424">
        <v>1</v>
      </c>
      <c r="G424">
        <v>7</v>
      </c>
      <c r="H424">
        <v>2020</v>
      </c>
      <c r="I424">
        <v>6847.5</v>
      </c>
      <c r="J424">
        <v>2739</v>
      </c>
      <c r="N424" s="1"/>
    </row>
    <row r="425" spans="1:14">
      <c r="A425">
        <v>2</v>
      </c>
      <c r="B425">
        <v>824253</v>
      </c>
      <c r="C425" t="s">
        <v>10</v>
      </c>
      <c r="D425" s="2">
        <v>3450</v>
      </c>
      <c r="E425" s="1">
        <v>44013</v>
      </c>
      <c r="F425">
        <v>1</v>
      </c>
      <c r="G425">
        <v>7</v>
      </c>
      <c r="H425">
        <v>2020</v>
      </c>
      <c r="I425">
        <v>17250</v>
      </c>
      <c r="J425">
        <v>6900</v>
      </c>
      <c r="N425" s="1"/>
    </row>
    <row r="426" spans="1:14">
      <c r="A426">
        <v>3</v>
      </c>
      <c r="B426">
        <v>288851</v>
      </c>
      <c r="C426" t="s">
        <v>10</v>
      </c>
      <c r="D426" s="2">
        <v>2988</v>
      </c>
      <c r="E426" s="1">
        <v>44013</v>
      </c>
      <c r="F426">
        <v>1</v>
      </c>
      <c r="G426">
        <v>7</v>
      </c>
      <c r="H426">
        <v>2020</v>
      </c>
      <c r="I426">
        <v>14940</v>
      </c>
      <c r="J426">
        <v>5976</v>
      </c>
      <c r="N426" s="1"/>
    </row>
    <row r="427" spans="1:14">
      <c r="A427">
        <v>4</v>
      </c>
      <c r="B427">
        <v>459019</v>
      </c>
      <c r="C427" t="s">
        <v>10</v>
      </c>
      <c r="D427" s="2">
        <v>3513</v>
      </c>
      <c r="E427" s="1">
        <v>44013</v>
      </c>
      <c r="F427">
        <v>1</v>
      </c>
      <c r="G427">
        <v>7</v>
      </c>
      <c r="H427">
        <v>2020</v>
      </c>
      <c r="I427">
        <v>17565</v>
      </c>
      <c r="J427">
        <v>7026</v>
      </c>
      <c r="N427" s="1"/>
    </row>
    <row r="428" spans="1:14">
      <c r="A428">
        <v>3</v>
      </c>
      <c r="B428">
        <v>735406</v>
      </c>
      <c r="C428" t="s">
        <v>10</v>
      </c>
      <c r="D428" s="2">
        <v>2104.5</v>
      </c>
      <c r="E428" s="1">
        <v>44013</v>
      </c>
      <c r="F428">
        <v>1</v>
      </c>
      <c r="G428">
        <v>7</v>
      </c>
      <c r="H428">
        <v>2020</v>
      </c>
      <c r="I428">
        <v>10522.5</v>
      </c>
      <c r="J428">
        <v>4209</v>
      </c>
      <c r="N428" s="1"/>
    </row>
    <row r="429" spans="1:14">
      <c r="A429">
        <v>3</v>
      </c>
      <c r="B429">
        <v>253399</v>
      </c>
      <c r="C429" t="s">
        <v>10</v>
      </c>
      <c r="D429" s="2">
        <v>4026</v>
      </c>
      <c r="E429" s="1">
        <v>44013</v>
      </c>
      <c r="F429">
        <v>1</v>
      </c>
      <c r="G429">
        <v>7</v>
      </c>
      <c r="H429">
        <v>2020</v>
      </c>
      <c r="I429">
        <v>20130</v>
      </c>
      <c r="J429">
        <v>8052</v>
      </c>
      <c r="N429" s="1"/>
    </row>
    <row r="430" spans="1:14">
      <c r="A430">
        <v>2</v>
      </c>
      <c r="B430">
        <v>146841</v>
      </c>
      <c r="C430" t="s">
        <v>10</v>
      </c>
      <c r="D430" s="2">
        <v>2425.5</v>
      </c>
      <c r="E430" s="1">
        <v>44013</v>
      </c>
      <c r="F430">
        <v>1</v>
      </c>
      <c r="G430">
        <v>7</v>
      </c>
      <c r="H430">
        <v>2020</v>
      </c>
      <c r="I430">
        <v>12127.5</v>
      </c>
      <c r="J430">
        <v>4851</v>
      </c>
      <c r="N430" s="1"/>
    </row>
    <row r="431" spans="1:14">
      <c r="A431">
        <v>4</v>
      </c>
      <c r="B431">
        <v>868182</v>
      </c>
      <c r="C431" t="s">
        <v>10</v>
      </c>
      <c r="D431" s="2">
        <v>571</v>
      </c>
      <c r="E431" s="1">
        <v>44013</v>
      </c>
      <c r="F431">
        <v>1</v>
      </c>
      <c r="G431">
        <v>7</v>
      </c>
      <c r="H431">
        <v>2020</v>
      </c>
      <c r="I431">
        <v>2855</v>
      </c>
      <c r="J431">
        <v>1142</v>
      </c>
      <c r="N431" s="1"/>
    </row>
    <row r="432" spans="1:14">
      <c r="A432">
        <v>4</v>
      </c>
      <c r="B432">
        <v>252717</v>
      </c>
      <c r="C432" t="s">
        <v>11</v>
      </c>
      <c r="D432" s="2">
        <v>2665.5</v>
      </c>
      <c r="E432" s="1">
        <v>44013</v>
      </c>
      <c r="F432">
        <v>1</v>
      </c>
      <c r="G432">
        <v>7</v>
      </c>
      <c r="H432">
        <v>2020</v>
      </c>
      <c r="I432">
        <v>2665.5</v>
      </c>
      <c r="J432">
        <v>1332.75</v>
      </c>
      <c r="N432" s="1"/>
    </row>
    <row r="433" spans="1:14">
      <c r="A433">
        <v>4</v>
      </c>
      <c r="B433">
        <v>892418</v>
      </c>
      <c r="C433" t="s">
        <v>11</v>
      </c>
      <c r="D433" s="2">
        <v>1375.5</v>
      </c>
      <c r="E433" s="1">
        <v>44013</v>
      </c>
      <c r="F433">
        <v>1</v>
      </c>
      <c r="G433">
        <v>7</v>
      </c>
      <c r="H433">
        <v>2020</v>
      </c>
      <c r="I433">
        <v>1375.5</v>
      </c>
      <c r="J433">
        <v>687.75</v>
      </c>
      <c r="N433" s="1"/>
    </row>
    <row r="434" spans="1:14">
      <c r="A434">
        <v>4</v>
      </c>
      <c r="B434">
        <v>746705</v>
      </c>
      <c r="C434" t="s">
        <v>11</v>
      </c>
      <c r="D434" s="2">
        <v>3627</v>
      </c>
      <c r="E434" s="1">
        <v>44013</v>
      </c>
      <c r="F434">
        <v>1</v>
      </c>
      <c r="G434">
        <v>7</v>
      </c>
      <c r="H434">
        <v>2020</v>
      </c>
      <c r="I434">
        <v>3627</v>
      </c>
      <c r="J434">
        <v>1813.5</v>
      </c>
      <c r="N434" s="1"/>
    </row>
    <row r="435" spans="1:14">
      <c r="A435">
        <v>4</v>
      </c>
      <c r="B435">
        <v>219898</v>
      </c>
      <c r="C435" t="s">
        <v>11</v>
      </c>
      <c r="D435" s="2">
        <v>645</v>
      </c>
      <c r="E435" s="1">
        <v>44013</v>
      </c>
      <c r="F435">
        <v>1</v>
      </c>
      <c r="G435">
        <v>7</v>
      </c>
      <c r="H435">
        <v>2020</v>
      </c>
      <c r="I435">
        <v>645</v>
      </c>
      <c r="J435">
        <v>322.5</v>
      </c>
      <c r="N435" s="1"/>
    </row>
    <row r="436" spans="1:14">
      <c r="A436">
        <v>3</v>
      </c>
      <c r="B436">
        <v>434964</v>
      </c>
      <c r="C436" t="s">
        <v>11</v>
      </c>
      <c r="D436" s="2">
        <v>2255</v>
      </c>
      <c r="E436" s="1">
        <v>44013</v>
      </c>
      <c r="F436">
        <v>1</v>
      </c>
      <c r="G436">
        <v>7</v>
      </c>
      <c r="H436">
        <v>2020</v>
      </c>
      <c r="I436">
        <v>2255</v>
      </c>
      <c r="J436">
        <v>1127.5</v>
      </c>
      <c r="N436" s="1"/>
    </row>
    <row r="437" spans="1:14">
      <c r="A437">
        <v>3</v>
      </c>
      <c r="B437">
        <v>754791</v>
      </c>
      <c r="C437" t="s">
        <v>12</v>
      </c>
      <c r="D437" s="2">
        <v>1686</v>
      </c>
      <c r="E437" s="1">
        <v>44013</v>
      </c>
      <c r="F437">
        <v>1</v>
      </c>
      <c r="G437">
        <v>7</v>
      </c>
      <c r="H437">
        <v>2020</v>
      </c>
      <c r="I437">
        <v>8430</v>
      </c>
      <c r="J437">
        <v>3709.2000000000003</v>
      </c>
      <c r="N437" s="1"/>
    </row>
    <row r="438" spans="1:14">
      <c r="A438">
        <v>3</v>
      </c>
      <c r="B438">
        <v>602865</v>
      </c>
      <c r="C438" t="s">
        <v>12</v>
      </c>
      <c r="D438" s="2">
        <v>1683</v>
      </c>
      <c r="E438" s="1">
        <v>44013</v>
      </c>
      <c r="F438">
        <v>1</v>
      </c>
      <c r="G438">
        <v>7</v>
      </c>
      <c r="H438">
        <v>2020</v>
      </c>
      <c r="I438">
        <v>8415</v>
      </c>
      <c r="J438">
        <v>3702.6000000000004</v>
      </c>
      <c r="N438" s="1"/>
    </row>
    <row r="439" spans="1:14">
      <c r="A439">
        <v>4</v>
      </c>
      <c r="B439">
        <v>571542</v>
      </c>
      <c r="C439" t="s">
        <v>12</v>
      </c>
      <c r="D439" s="2">
        <v>1630.5</v>
      </c>
      <c r="E439" s="1">
        <v>44013</v>
      </c>
      <c r="F439">
        <v>1</v>
      </c>
      <c r="G439">
        <v>7</v>
      </c>
      <c r="H439">
        <v>2020</v>
      </c>
      <c r="I439">
        <v>8152.5</v>
      </c>
      <c r="J439">
        <v>3587.1000000000004</v>
      </c>
      <c r="N439" s="1"/>
    </row>
    <row r="440" spans="1:14">
      <c r="A440">
        <v>2</v>
      </c>
      <c r="B440">
        <v>104326</v>
      </c>
      <c r="C440" t="s">
        <v>12</v>
      </c>
      <c r="D440" s="2">
        <v>3199.5</v>
      </c>
      <c r="E440" s="1">
        <v>44013</v>
      </c>
      <c r="F440">
        <v>1</v>
      </c>
      <c r="G440">
        <v>7</v>
      </c>
      <c r="H440">
        <v>2020</v>
      </c>
      <c r="I440">
        <v>15997.5</v>
      </c>
      <c r="J440">
        <v>7038.9000000000005</v>
      </c>
      <c r="N440" s="1"/>
    </row>
    <row r="441" spans="1:14">
      <c r="A441">
        <v>3</v>
      </c>
      <c r="B441">
        <v>261362</v>
      </c>
      <c r="C441" t="s">
        <v>12</v>
      </c>
      <c r="D441" s="2">
        <v>3421.5</v>
      </c>
      <c r="E441" s="1">
        <v>44013</v>
      </c>
      <c r="F441">
        <v>1</v>
      </c>
      <c r="G441">
        <v>7</v>
      </c>
      <c r="H441">
        <v>2020</v>
      </c>
      <c r="I441">
        <v>17107.5</v>
      </c>
      <c r="J441">
        <v>7527.3</v>
      </c>
      <c r="N441" s="1"/>
    </row>
    <row r="442" spans="1:14">
      <c r="A442">
        <v>5</v>
      </c>
      <c r="B442">
        <v>406431</v>
      </c>
      <c r="C442" t="s">
        <v>13</v>
      </c>
      <c r="D442" s="2">
        <v>2529</v>
      </c>
      <c r="E442" s="1">
        <v>44013</v>
      </c>
      <c r="F442">
        <v>1</v>
      </c>
      <c r="G442">
        <v>7</v>
      </c>
      <c r="H442">
        <v>2020</v>
      </c>
      <c r="I442">
        <v>10116</v>
      </c>
      <c r="J442">
        <v>3793.5</v>
      </c>
      <c r="N442" s="1"/>
    </row>
    <row r="443" spans="1:14">
      <c r="A443">
        <v>4</v>
      </c>
      <c r="B443">
        <v>865204</v>
      </c>
      <c r="C443" t="s">
        <v>13</v>
      </c>
      <c r="D443" s="2">
        <v>819</v>
      </c>
      <c r="E443" s="1">
        <v>44013</v>
      </c>
      <c r="F443">
        <v>1</v>
      </c>
      <c r="G443">
        <v>7</v>
      </c>
      <c r="H443">
        <v>2020</v>
      </c>
      <c r="I443">
        <v>3276</v>
      </c>
      <c r="J443">
        <v>1228.5</v>
      </c>
      <c r="N443" s="1"/>
    </row>
    <row r="444" spans="1:14">
      <c r="A444">
        <v>2</v>
      </c>
      <c r="B444">
        <v>327555</v>
      </c>
      <c r="C444" t="s">
        <v>13</v>
      </c>
      <c r="D444" s="2">
        <v>2811</v>
      </c>
      <c r="E444" s="1">
        <v>44013</v>
      </c>
      <c r="F444">
        <v>1</v>
      </c>
      <c r="G444">
        <v>7</v>
      </c>
      <c r="H444">
        <v>2020</v>
      </c>
      <c r="I444">
        <v>11244</v>
      </c>
      <c r="J444">
        <v>4216.5</v>
      </c>
      <c r="N444" s="1"/>
    </row>
    <row r="445" spans="1:14">
      <c r="A445">
        <v>5</v>
      </c>
      <c r="B445">
        <v>372739</v>
      </c>
      <c r="C445" t="s">
        <v>13</v>
      </c>
      <c r="D445" s="2">
        <v>801</v>
      </c>
      <c r="E445" s="1">
        <v>44013</v>
      </c>
      <c r="F445">
        <v>1</v>
      </c>
      <c r="G445">
        <v>7</v>
      </c>
      <c r="H445">
        <v>2020</v>
      </c>
      <c r="I445">
        <v>3204</v>
      </c>
      <c r="J445">
        <v>1201.5</v>
      </c>
      <c r="N445" s="1"/>
    </row>
    <row r="446" spans="1:14">
      <c r="A446">
        <v>2</v>
      </c>
      <c r="B446">
        <v>633142</v>
      </c>
      <c r="C446" t="s">
        <v>14</v>
      </c>
      <c r="D446" s="2">
        <v>436.5</v>
      </c>
      <c r="E446" s="1">
        <v>44013</v>
      </c>
      <c r="F446">
        <v>1</v>
      </c>
      <c r="G446">
        <v>7</v>
      </c>
      <c r="H446">
        <v>2020</v>
      </c>
      <c r="I446">
        <v>1309.5</v>
      </c>
      <c r="J446">
        <v>545.625</v>
      </c>
      <c r="N446" s="1"/>
    </row>
    <row r="447" spans="1:14">
      <c r="A447">
        <v>1</v>
      </c>
      <c r="B447">
        <v>485947</v>
      </c>
      <c r="C447" t="s">
        <v>14</v>
      </c>
      <c r="D447" s="2">
        <v>641</v>
      </c>
      <c r="E447" s="1">
        <v>44013</v>
      </c>
      <c r="F447">
        <v>1</v>
      </c>
      <c r="G447">
        <v>7</v>
      </c>
      <c r="H447">
        <v>2020</v>
      </c>
      <c r="I447">
        <v>1923</v>
      </c>
      <c r="J447">
        <v>801.25</v>
      </c>
      <c r="N447" s="1"/>
    </row>
    <row r="448" spans="1:14">
      <c r="A448">
        <v>1</v>
      </c>
      <c r="B448">
        <v>219485</v>
      </c>
      <c r="C448" t="s">
        <v>14</v>
      </c>
      <c r="D448" s="2">
        <v>3874.5</v>
      </c>
      <c r="E448" s="1">
        <v>44013</v>
      </c>
      <c r="F448">
        <v>1</v>
      </c>
      <c r="G448">
        <v>7</v>
      </c>
      <c r="H448">
        <v>2020</v>
      </c>
      <c r="I448">
        <v>11623.5</v>
      </c>
      <c r="J448">
        <v>4843.125</v>
      </c>
      <c r="N448" s="1"/>
    </row>
    <row r="449" spans="1:14">
      <c r="A449">
        <v>1</v>
      </c>
      <c r="B449">
        <v>213778</v>
      </c>
      <c r="C449" t="s">
        <v>14</v>
      </c>
      <c r="D449" s="2">
        <v>865.5</v>
      </c>
      <c r="E449" s="1">
        <v>44013</v>
      </c>
      <c r="F449">
        <v>1</v>
      </c>
      <c r="G449">
        <v>7</v>
      </c>
      <c r="H449">
        <v>2020</v>
      </c>
      <c r="I449">
        <v>2596.5</v>
      </c>
      <c r="J449">
        <v>1081.875</v>
      </c>
      <c r="N449" s="1"/>
    </row>
    <row r="450" spans="1:14">
      <c r="A450">
        <v>4</v>
      </c>
      <c r="B450">
        <v>414407</v>
      </c>
      <c r="C450" t="s">
        <v>14</v>
      </c>
      <c r="D450" s="2">
        <v>492</v>
      </c>
      <c r="E450" s="1">
        <v>44013</v>
      </c>
      <c r="F450">
        <v>1</v>
      </c>
      <c r="G450">
        <v>7</v>
      </c>
      <c r="H450">
        <v>2020</v>
      </c>
      <c r="I450">
        <v>1476</v>
      </c>
      <c r="J450">
        <v>615</v>
      </c>
      <c r="N450" s="1"/>
    </row>
    <row r="451" spans="1:14">
      <c r="A451">
        <v>1</v>
      </c>
      <c r="B451">
        <v>614031</v>
      </c>
      <c r="C451" t="s">
        <v>15</v>
      </c>
      <c r="D451" s="2">
        <v>1659</v>
      </c>
      <c r="E451" s="1">
        <v>44013</v>
      </c>
      <c r="F451">
        <v>1</v>
      </c>
      <c r="G451">
        <v>7</v>
      </c>
      <c r="H451">
        <v>2020</v>
      </c>
      <c r="I451">
        <v>9954</v>
      </c>
      <c r="J451">
        <v>4562.25</v>
      </c>
      <c r="N451" s="1"/>
    </row>
    <row r="452" spans="1:14">
      <c r="A452">
        <v>4</v>
      </c>
      <c r="B452">
        <v>710702</v>
      </c>
      <c r="C452" t="s">
        <v>15</v>
      </c>
      <c r="D452" s="2">
        <v>3793.5</v>
      </c>
      <c r="E452" s="1">
        <v>44013</v>
      </c>
      <c r="F452">
        <v>1</v>
      </c>
      <c r="G452">
        <v>7</v>
      </c>
      <c r="H452">
        <v>2020</v>
      </c>
      <c r="I452">
        <v>22761</v>
      </c>
      <c r="J452">
        <v>10432.125</v>
      </c>
      <c r="N452" s="1"/>
    </row>
    <row r="453" spans="1:14">
      <c r="A453">
        <v>4</v>
      </c>
      <c r="B453">
        <v>696979</v>
      </c>
      <c r="C453" t="s">
        <v>15</v>
      </c>
      <c r="D453" s="2">
        <v>1307</v>
      </c>
      <c r="E453" s="1">
        <v>44013</v>
      </c>
      <c r="F453">
        <v>1</v>
      </c>
      <c r="G453">
        <v>7</v>
      </c>
      <c r="H453">
        <v>2020</v>
      </c>
      <c r="I453">
        <v>7842</v>
      </c>
      <c r="J453">
        <v>3594.25</v>
      </c>
      <c r="N453" s="1"/>
    </row>
    <row r="454" spans="1:14">
      <c r="A454">
        <v>2</v>
      </c>
      <c r="B454">
        <v>897372</v>
      </c>
      <c r="C454" t="s">
        <v>15</v>
      </c>
      <c r="D454" s="2">
        <v>639</v>
      </c>
      <c r="E454" s="1">
        <v>44013</v>
      </c>
      <c r="F454">
        <v>1</v>
      </c>
      <c r="G454">
        <v>7</v>
      </c>
      <c r="H454">
        <v>2020</v>
      </c>
      <c r="I454">
        <v>3834</v>
      </c>
      <c r="J454">
        <v>1757.25</v>
      </c>
      <c r="N454" s="1"/>
    </row>
    <row r="455" spans="1:14">
      <c r="A455">
        <v>2</v>
      </c>
      <c r="B455">
        <v>638098</v>
      </c>
      <c r="C455" t="s">
        <v>15</v>
      </c>
      <c r="D455" s="2">
        <v>1395</v>
      </c>
      <c r="E455" s="1">
        <v>44013</v>
      </c>
      <c r="F455">
        <v>1</v>
      </c>
      <c r="G455">
        <v>7</v>
      </c>
      <c r="H455">
        <v>2020</v>
      </c>
      <c r="I455">
        <v>8370</v>
      </c>
      <c r="J455">
        <v>3836.25</v>
      </c>
      <c r="N455" s="1"/>
    </row>
    <row r="456" spans="1:14">
      <c r="A456">
        <v>4</v>
      </c>
      <c r="B456">
        <v>233911</v>
      </c>
      <c r="C456" t="s">
        <v>15</v>
      </c>
      <c r="D456" s="2">
        <v>2460</v>
      </c>
      <c r="E456" s="1">
        <v>44013</v>
      </c>
      <c r="F456">
        <v>1</v>
      </c>
      <c r="G456">
        <v>7</v>
      </c>
      <c r="H456">
        <v>2020</v>
      </c>
      <c r="I456">
        <v>14760</v>
      </c>
      <c r="J456">
        <v>6765</v>
      </c>
      <c r="N456" s="1"/>
    </row>
    <row r="457" spans="1:14">
      <c r="A457">
        <v>5</v>
      </c>
      <c r="B457">
        <v>889571</v>
      </c>
      <c r="C457" t="s">
        <v>10</v>
      </c>
      <c r="D457" s="2">
        <v>883</v>
      </c>
      <c r="E457" s="1">
        <v>44044</v>
      </c>
      <c r="F457">
        <v>1</v>
      </c>
      <c r="G457">
        <v>8</v>
      </c>
      <c r="H457">
        <v>2020</v>
      </c>
      <c r="I457">
        <v>4415</v>
      </c>
      <c r="J457">
        <v>1766</v>
      </c>
      <c r="N457" s="1"/>
    </row>
    <row r="458" spans="1:14">
      <c r="A458">
        <v>3</v>
      </c>
      <c r="B458">
        <v>698245</v>
      </c>
      <c r="C458" t="s">
        <v>10</v>
      </c>
      <c r="D458" s="2">
        <v>2198</v>
      </c>
      <c r="E458" s="1">
        <v>44044</v>
      </c>
      <c r="F458">
        <v>1</v>
      </c>
      <c r="G458">
        <v>8</v>
      </c>
      <c r="H458">
        <v>2020</v>
      </c>
      <c r="I458">
        <v>10990</v>
      </c>
      <c r="J458">
        <v>4396</v>
      </c>
      <c r="N458" s="1"/>
    </row>
    <row r="459" spans="1:14">
      <c r="A459">
        <v>4</v>
      </c>
      <c r="B459">
        <v>796346</v>
      </c>
      <c r="C459" t="s">
        <v>10</v>
      </c>
      <c r="D459" s="2">
        <v>1743</v>
      </c>
      <c r="E459" s="1">
        <v>44044</v>
      </c>
      <c r="F459">
        <v>1</v>
      </c>
      <c r="G459">
        <v>8</v>
      </c>
      <c r="H459">
        <v>2020</v>
      </c>
      <c r="I459">
        <v>8715</v>
      </c>
      <c r="J459">
        <v>3486</v>
      </c>
      <c r="N459" s="1"/>
    </row>
    <row r="460" spans="1:14">
      <c r="A460">
        <v>5</v>
      </c>
      <c r="B460">
        <v>126864</v>
      </c>
      <c r="C460" t="s">
        <v>10</v>
      </c>
      <c r="D460" s="2">
        <v>2101</v>
      </c>
      <c r="E460" s="1">
        <v>44044</v>
      </c>
      <c r="F460">
        <v>1</v>
      </c>
      <c r="G460">
        <v>8</v>
      </c>
      <c r="H460">
        <v>2020</v>
      </c>
      <c r="I460">
        <v>10505</v>
      </c>
      <c r="J460">
        <v>4202</v>
      </c>
      <c r="N460" s="1"/>
    </row>
    <row r="461" spans="1:14">
      <c r="A461">
        <v>5</v>
      </c>
      <c r="B461">
        <v>456841</v>
      </c>
      <c r="C461" t="s">
        <v>10</v>
      </c>
      <c r="D461" s="2">
        <v>678</v>
      </c>
      <c r="E461" s="1">
        <v>44044</v>
      </c>
      <c r="F461">
        <v>1</v>
      </c>
      <c r="G461">
        <v>8</v>
      </c>
      <c r="H461">
        <v>2020</v>
      </c>
      <c r="I461">
        <v>3390</v>
      </c>
      <c r="J461">
        <v>1356</v>
      </c>
      <c r="N461" s="1"/>
    </row>
    <row r="462" spans="1:14">
      <c r="A462">
        <v>3</v>
      </c>
      <c r="B462">
        <v>513469</v>
      </c>
      <c r="C462" t="s">
        <v>10</v>
      </c>
      <c r="D462" s="2">
        <v>1598</v>
      </c>
      <c r="E462" s="1">
        <v>44044</v>
      </c>
      <c r="F462">
        <v>1</v>
      </c>
      <c r="G462">
        <v>8</v>
      </c>
      <c r="H462">
        <v>2020</v>
      </c>
      <c r="I462">
        <v>7990</v>
      </c>
      <c r="J462">
        <v>3196</v>
      </c>
      <c r="N462" s="1"/>
    </row>
    <row r="463" spans="1:14">
      <c r="A463">
        <v>4</v>
      </c>
      <c r="B463">
        <v>466133</v>
      </c>
      <c r="C463" t="s">
        <v>10</v>
      </c>
      <c r="D463" s="2">
        <v>2394</v>
      </c>
      <c r="E463" s="1">
        <v>44044</v>
      </c>
      <c r="F463">
        <v>1</v>
      </c>
      <c r="G463">
        <v>8</v>
      </c>
      <c r="H463">
        <v>2020</v>
      </c>
      <c r="I463">
        <v>11970</v>
      </c>
      <c r="J463">
        <v>4788</v>
      </c>
      <c r="N463" s="1"/>
    </row>
    <row r="464" spans="1:14">
      <c r="A464">
        <v>3</v>
      </c>
      <c r="B464">
        <v>159484</v>
      </c>
      <c r="C464" t="s">
        <v>10</v>
      </c>
      <c r="D464" s="2">
        <v>1984</v>
      </c>
      <c r="E464" s="1">
        <v>44044</v>
      </c>
      <c r="F464">
        <v>1</v>
      </c>
      <c r="G464">
        <v>8</v>
      </c>
      <c r="H464">
        <v>2020</v>
      </c>
      <c r="I464">
        <v>9920</v>
      </c>
      <c r="J464">
        <v>3968</v>
      </c>
      <c r="N464" s="1"/>
    </row>
    <row r="465" spans="1:14">
      <c r="A465">
        <v>3</v>
      </c>
      <c r="B465">
        <v>121808</v>
      </c>
      <c r="C465" t="s">
        <v>10</v>
      </c>
      <c r="D465" s="2">
        <v>2696</v>
      </c>
      <c r="E465" s="1">
        <v>44044</v>
      </c>
      <c r="F465">
        <v>1</v>
      </c>
      <c r="G465">
        <v>8</v>
      </c>
      <c r="H465">
        <v>2020</v>
      </c>
      <c r="I465">
        <v>13480</v>
      </c>
      <c r="J465">
        <v>5392</v>
      </c>
      <c r="N465" s="1"/>
    </row>
    <row r="466" spans="1:14">
      <c r="A466">
        <v>3</v>
      </c>
      <c r="B466">
        <v>408804</v>
      </c>
      <c r="C466" t="s">
        <v>10</v>
      </c>
      <c r="D466" s="2">
        <v>2559</v>
      </c>
      <c r="E466" s="1">
        <v>44044</v>
      </c>
      <c r="F466">
        <v>1</v>
      </c>
      <c r="G466">
        <v>8</v>
      </c>
      <c r="H466">
        <v>2020</v>
      </c>
      <c r="I466">
        <v>12795</v>
      </c>
      <c r="J466">
        <v>5118</v>
      </c>
      <c r="N466" s="1"/>
    </row>
    <row r="467" spans="1:14">
      <c r="A467">
        <v>3</v>
      </c>
      <c r="B467">
        <v>440487</v>
      </c>
      <c r="C467" t="s">
        <v>11</v>
      </c>
      <c r="D467" s="2">
        <v>958</v>
      </c>
      <c r="E467" s="1">
        <v>44044</v>
      </c>
      <c r="F467">
        <v>1</v>
      </c>
      <c r="G467">
        <v>8</v>
      </c>
      <c r="H467">
        <v>2020</v>
      </c>
      <c r="I467">
        <v>958</v>
      </c>
      <c r="J467">
        <v>479</v>
      </c>
      <c r="N467" s="1"/>
    </row>
    <row r="468" spans="1:14">
      <c r="A468">
        <v>4</v>
      </c>
      <c r="B468">
        <v>459280</v>
      </c>
      <c r="C468" t="s">
        <v>11</v>
      </c>
      <c r="D468" s="2">
        <v>1830</v>
      </c>
      <c r="E468" s="1">
        <v>44044</v>
      </c>
      <c r="F468">
        <v>1</v>
      </c>
      <c r="G468">
        <v>8</v>
      </c>
      <c r="H468">
        <v>2020</v>
      </c>
      <c r="I468">
        <v>1830</v>
      </c>
      <c r="J468">
        <v>915</v>
      </c>
      <c r="N468" s="1"/>
    </row>
    <row r="469" spans="1:14">
      <c r="A469">
        <v>3</v>
      </c>
      <c r="B469">
        <v>539522</v>
      </c>
      <c r="C469" t="s">
        <v>11</v>
      </c>
      <c r="D469" s="2">
        <v>1859</v>
      </c>
      <c r="E469" s="1">
        <v>44044</v>
      </c>
      <c r="F469">
        <v>1</v>
      </c>
      <c r="G469">
        <v>8</v>
      </c>
      <c r="H469">
        <v>2020</v>
      </c>
      <c r="I469">
        <v>1859</v>
      </c>
      <c r="J469">
        <v>929.5</v>
      </c>
      <c r="N469" s="1"/>
    </row>
    <row r="470" spans="1:14">
      <c r="A470">
        <v>3</v>
      </c>
      <c r="B470">
        <v>141979</v>
      </c>
      <c r="C470" t="s">
        <v>11</v>
      </c>
      <c r="D470" s="2">
        <v>1562</v>
      </c>
      <c r="E470" s="1">
        <v>44044</v>
      </c>
      <c r="F470">
        <v>1</v>
      </c>
      <c r="G470">
        <v>8</v>
      </c>
      <c r="H470">
        <v>2020</v>
      </c>
      <c r="I470">
        <v>1562</v>
      </c>
      <c r="J470">
        <v>781</v>
      </c>
      <c r="N470" s="1"/>
    </row>
    <row r="471" spans="1:14">
      <c r="A471">
        <v>2</v>
      </c>
      <c r="B471">
        <v>348619</v>
      </c>
      <c r="C471" t="s">
        <v>12</v>
      </c>
      <c r="D471" s="2">
        <v>2141</v>
      </c>
      <c r="E471" s="1">
        <v>44044</v>
      </c>
      <c r="F471">
        <v>1</v>
      </c>
      <c r="G471">
        <v>8</v>
      </c>
      <c r="H471">
        <v>2020</v>
      </c>
      <c r="I471">
        <v>10705</v>
      </c>
      <c r="J471">
        <v>4710.2000000000007</v>
      </c>
      <c r="N471" s="1"/>
    </row>
    <row r="472" spans="1:14">
      <c r="A472">
        <v>2</v>
      </c>
      <c r="B472">
        <v>304458</v>
      </c>
      <c r="C472" t="s">
        <v>12</v>
      </c>
      <c r="D472" s="2">
        <v>1123</v>
      </c>
      <c r="E472" s="1">
        <v>44044</v>
      </c>
      <c r="F472">
        <v>1</v>
      </c>
      <c r="G472">
        <v>8</v>
      </c>
      <c r="H472">
        <v>2020</v>
      </c>
      <c r="I472">
        <v>5615</v>
      </c>
      <c r="J472">
        <v>2470.6000000000004</v>
      </c>
      <c r="N472" s="1"/>
    </row>
    <row r="473" spans="1:14">
      <c r="A473">
        <v>4</v>
      </c>
      <c r="B473">
        <v>399302</v>
      </c>
      <c r="C473" t="s">
        <v>12</v>
      </c>
      <c r="D473" s="2">
        <v>552</v>
      </c>
      <c r="E473" s="1">
        <v>44044</v>
      </c>
      <c r="F473">
        <v>1</v>
      </c>
      <c r="G473">
        <v>8</v>
      </c>
      <c r="H473">
        <v>2020</v>
      </c>
      <c r="I473">
        <v>2760</v>
      </c>
      <c r="J473">
        <v>1214.4000000000001</v>
      </c>
      <c r="N473" s="1"/>
    </row>
    <row r="474" spans="1:14">
      <c r="A474">
        <v>4</v>
      </c>
      <c r="B474">
        <v>702523</v>
      </c>
      <c r="C474" t="s">
        <v>12</v>
      </c>
      <c r="D474" s="2">
        <v>2574</v>
      </c>
      <c r="E474" s="1">
        <v>44044</v>
      </c>
      <c r="F474">
        <v>1</v>
      </c>
      <c r="G474">
        <v>8</v>
      </c>
      <c r="H474">
        <v>2020</v>
      </c>
      <c r="I474">
        <v>12870</v>
      </c>
      <c r="J474">
        <v>5662.8</v>
      </c>
      <c r="N474" s="1"/>
    </row>
    <row r="475" spans="1:14">
      <c r="A475">
        <v>4</v>
      </c>
      <c r="B475">
        <v>140516</v>
      </c>
      <c r="C475" t="s">
        <v>12</v>
      </c>
      <c r="D475" s="2">
        <v>2475</v>
      </c>
      <c r="E475" s="1">
        <v>44044</v>
      </c>
      <c r="F475">
        <v>1</v>
      </c>
      <c r="G475">
        <v>8</v>
      </c>
      <c r="H475">
        <v>2020</v>
      </c>
      <c r="I475">
        <v>12375</v>
      </c>
      <c r="J475">
        <v>5445</v>
      </c>
      <c r="N475" s="1"/>
    </row>
    <row r="476" spans="1:14">
      <c r="A476">
        <v>1</v>
      </c>
      <c r="B476">
        <v>572044</v>
      </c>
      <c r="C476" t="s">
        <v>13</v>
      </c>
      <c r="D476" s="2">
        <v>1884</v>
      </c>
      <c r="E476" s="1">
        <v>44044</v>
      </c>
      <c r="F476">
        <v>1</v>
      </c>
      <c r="G476">
        <v>8</v>
      </c>
      <c r="H476">
        <v>2020</v>
      </c>
      <c r="I476">
        <v>7536</v>
      </c>
      <c r="J476">
        <v>2826</v>
      </c>
      <c r="N476" s="1"/>
    </row>
    <row r="477" spans="1:14">
      <c r="A477">
        <v>4</v>
      </c>
      <c r="B477">
        <v>495847</v>
      </c>
      <c r="C477" t="s">
        <v>13</v>
      </c>
      <c r="D477" s="2">
        <v>1540</v>
      </c>
      <c r="E477" s="1">
        <v>44044</v>
      </c>
      <c r="F477">
        <v>1</v>
      </c>
      <c r="G477">
        <v>8</v>
      </c>
      <c r="H477">
        <v>2020</v>
      </c>
      <c r="I477">
        <v>6160</v>
      </c>
      <c r="J477">
        <v>2310</v>
      </c>
      <c r="N477" s="1"/>
    </row>
    <row r="478" spans="1:14">
      <c r="A478">
        <v>1</v>
      </c>
      <c r="B478">
        <v>819278</v>
      </c>
      <c r="C478" t="s">
        <v>13</v>
      </c>
      <c r="D478" s="2">
        <v>1174</v>
      </c>
      <c r="E478" s="1">
        <v>44044</v>
      </c>
      <c r="F478">
        <v>1</v>
      </c>
      <c r="G478">
        <v>8</v>
      </c>
      <c r="H478">
        <v>2020</v>
      </c>
      <c r="I478">
        <v>4696</v>
      </c>
      <c r="J478">
        <v>1761</v>
      </c>
      <c r="N478" s="1"/>
    </row>
    <row r="479" spans="1:14">
      <c r="A479">
        <v>4</v>
      </c>
      <c r="B479">
        <v>858434</v>
      </c>
      <c r="C479" t="s">
        <v>13</v>
      </c>
      <c r="D479" s="2">
        <v>2767</v>
      </c>
      <c r="E479" s="1">
        <v>44044</v>
      </c>
      <c r="F479">
        <v>1</v>
      </c>
      <c r="G479">
        <v>8</v>
      </c>
      <c r="H479">
        <v>2020</v>
      </c>
      <c r="I479">
        <v>11068</v>
      </c>
      <c r="J479">
        <v>4150.5</v>
      </c>
      <c r="N479" s="1"/>
    </row>
    <row r="480" spans="1:14">
      <c r="A480">
        <v>2</v>
      </c>
      <c r="B480">
        <v>149767</v>
      </c>
      <c r="C480" t="s">
        <v>14</v>
      </c>
      <c r="D480" s="2">
        <v>1874</v>
      </c>
      <c r="E480" s="1">
        <v>44044</v>
      </c>
      <c r="F480">
        <v>1</v>
      </c>
      <c r="G480">
        <v>8</v>
      </c>
      <c r="H480">
        <v>2020</v>
      </c>
      <c r="I480">
        <v>5622</v>
      </c>
      <c r="J480">
        <v>2342.5</v>
      </c>
      <c r="N480" s="1"/>
    </row>
    <row r="481" spans="1:14">
      <c r="A481">
        <v>4</v>
      </c>
      <c r="B481">
        <v>108848</v>
      </c>
      <c r="C481" t="s">
        <v>14</v>
      </c>
      <c r="D481" s="2">
        <v>1642</v>
      </c>
      <c r="E481" s="1">
        <v>44044</v>
      </c>
      <c r="F481">
        <v>1</v>
      </c>
      <c r="G481">
        <v>8</v>
      </c>
      <c r="H481">
        <v>2020</v>
      </c>
      <c r="I481">
        <v>4926</v>
      </c>
      <c r="J481">
        <v>2052.5</v>
      </c>
      <c r="N481" s="1"/>
    </row>
    <row r="482" spans="1:14">
      <c r="A482">
        <v>3</v>
      </c>
      <c r="B482">
        <v>464364</v>
      </c>
      <c r="C482" t="s">
        <v>14</v>
      </c>
      <c r="D482" s="2">
        <v>381</v>
      </c>
      <c r="E482" s="1">
        <v>44044</v>
      </c>
      <c r="F482">
        <v>1</v>
      </c>
      <c r="G482">
        <v>8</v>
      </c>
      <c r="H482">
        <v>2020</v>
      </c>
      <c r="I482">
        <v>1143</v>
      </c>
      <c r="J482">
        <v>476.25</v>
      </c>
      <c r="N482" s="1"/>
    </row>
    <row r="483" spans="1:14">
      <c r="A483">
        <v>1</v>
      </c>
      <c r="B483">
        <v>350494</v>
      </c>
      <c r="C483" t="s">
        <v>14</v>
      </c>
      <c r="D483" s="2">
        <v>422</v>
      </c>
      <c r="E483" s="1">
        <v>44044</v>
      </c>
      <c r="F483">
        <v>1</v>
      </c>
      <c r="G483">
        <v>8</v>
      </c>
      <c r="H483">
        <v>2020</v>
      </c>
      <c r="I483">
        <v>1266</v>
      </c>
      <c r="J483">
        <v>527.5</v>
      </c>
      <c r="N483" s="1"/>
    </row>
    <row r="484" spans="1:14">
      <c r="A484">
        <v>2</v>
      </c>
      <c r="B484">
        <v>363822</v>
      </c>
      <c r="C484" t="s">
        <v>14</v>
      </c>
      <c r="D484" s="2">
        <v>2807</v>
      </c>
      <c r="E484" s="1">
        <v>44044</v>
      </c>
      <c r="F484">
        <v>1</v>
      </c>
      <c r="G484">
        <v>8</v>
      </c>
      <c r="H484">
        <v>2020</v>
      </c>
      <c r="I484">
        <v>8421</v>
      </c>
      <c r="J484">
        <v>3508.75</v>
      </c>
      <c r="N484" s="1"/>
    </row>
    <row r="485" spans="1:14">
      <c r="A485">
        <v>3</v>
      </c>
      <c r="B485">
        <v>444518</v>
      </c>
      <c r="C485" t="s">
        <v>14</v>
      </c>
      <c r="D485" s="2">
        <v>2541</v>
      </c>
      <c r="E485" s="1">
        <v>44044</v>
      </c>
      <c r="F485">
        <v>1</v>
      </c>
      <c r="G485">
        <v>8</v>
      </c>
      <c r="H485">
        <v>2020</v>
      </c>
      <c r="I485">
        <v>7623</v>
      </c>
      <c r="J485">
        <v>3176.25</v>
      </c>
      <c r="N485" s="1"/>
    </row>
    <row r="486" spans="1:14">
      <c r="A486">
        <v>1</v>
      </c>
      <c r="B486">
        <v>685153</v>
      </c>
      <c r="C486" t="s">
        <v>15</v>
      </c>
      <c r="D486" s="2">
        <v>2821</v>
      </c>
      <c r="E486" s="1">
        <v>44044</v>
      </c>
      <c r="F486">
        <v>1</v>
      </c>
      <c r="G486">
        <v>8</v>
      </c>
      <c r="H486">
        <v>2020</v>
      </c>
      <c r="I486">
        <v>16926</v>
      </c>
      <c r="J486">
        <v>7757.75</v>
      </c>
      <c r="N486" s="1"/>
    </row>
    <row r="487" spans="1:14">
      <c r="A487">
        <v>1</v>
      </c>
      <c r="B487">
        <v>265959</v>
      </c>
      <c r="C487" t="s">
        <v>15</v>
      </c>
      <c r="D487" s="2">
        <v>923</v>
      </c>
      <c r="E487" s="1">
        <v>44044</v>
      </c>
      <c r="F487">
        <v>1</v>
      </c>
      <c r="G487">
        <v>8</v>
      </c>
      <c r="H487">
        <v>2020</v>
      </c>
      <c r="I487">
        <v>5538</v>
      </c>
      <c r="J487">
        <v>2538.25</v>
      </c>
      <c r="N487" s="1"/>
    </row>
    <row r="488" spans="1:14">
      <c r="A488">
        <v>5</v>
      </c>
      <c r="B488">
        <v>864063</v>
      </c>
      <c r="C488" t="s">
        <v>15</v>
      </c>
      <c r="D488" s="2">
        <v>2832</v>
      </c>
      <c r="E488" s="1">
        <v>44044</v>
      </c>
      <c r="F488">
        <v>1</v>
      </c>
      <c r="G488">
        <v>8</v>
      </c>
      <c r="H488">
        <v>2020</v>
      </c>
      <c r="I488">
        <v>16992</v>
      </c>
      <c r="J488">
        <v>7788</v>
      </c>
      <c r="N488" s="1"/>
    </row>
    <row r="489" spans="1:14">
      <c r="A489">
        <v>3</v>
      </c>
      <c r="B489">
        <v>355971</v>
      </c>
      <c r="C489" t="s">
        <v>15</v>
      </c>
      <c r="D489" s="2">
        <v>1579</v>
      </c>
      <c r="E489" s="1">
        <v>44044</v>
      </c>
      <c r="F489">
        <v>1</v>
      </c>
      <c r="G489">
        <v>8</v>
      </c>
      <c r="H489">
        <v>2020</v>
      </c>
      <c r="I489">
        <v>9474</v>
      </c>
      <c r="J489">
        <v>4342.25</v>
      </c>
      <c r="N489" s="1"/>
    </row>
    <row r="490" spans="1:14">
      <c r="A490">
        <v>5</v>
      </c>
      <c r="B490">
        <v>263637</v>
      </c>
      <c r="C490" t="s">
        <v>15</v>
      </c>
      <c r="D490" s="2">
        <v>1001</v>
      </c>
      <c r="E490" s="1">
        <v>44044</v>
      </c>
      <c r="F490">
        <v>1</v>
      </c>
      <c r="G490">
        <v>8</v>
      </c>
      <c r="H490">
        <v>2020</v>
      </c>
      <c r="I490">
        <v>6006</v>
      </c>
      <c r="J490">
        <v>2752.75</v>
      </c>
      <c r="N490" s="1"/>
    </row>
    <row r="491" spans="1:14">
      <c r="A491">
        <v>1</v>
      </c>
      <c r="B491">
        <v>741049</v>
      </c>
      <c r="C491" t="s">
        <v>15</v>
      </c>
      <c r="D491" s="2">
        <v>609</v>
      </c>
      <c r="E491" s="1">
        <v>44044</v>
      </c>
      <c r="F491">
        <v>1</v>
      </c>
      <c r="G491">
        <v>8</v>
      </c>
      <c r="H491">
        <v>2020</v>
      </c>
      <c r="I491">
        <v>3654</v>
      </c>
      <c r="J491">
        <v>1674.75</v>
      </c>
      <c r="N491" s="1"/>
    </row>
    <row r="492" spans="1:14">
      <c r="A492">
        <v>5</v>
      </c>
      <c r="B492">
        <v>703997</v>
      </c>
      <c r="C492" t="s">
        <v>10</v>
      </c>
      <c r="D492" s="2">
        <v>2472</v>
      </c>
      <c r="E492" s="1">
        <v>44075</v>
      </c>
      <c r="F492">
        <v>1</v>
      </c>
      <c r="G492">
        <v>9</v>
      </c>
      <c r="H492">
        <v>2020</v>
      </c>
      <c r="I492">
        <v>12360</v>
      </c>
      <c r="J492">
        <v>4944</v>
      </c>
      <c r="N492" s="1"/>
    </row>
    <row r="493" spans="1:14">
      <c r="A493">
        <v>2</v>
      </c>
      <c r="B493">
        <v>320688</v>
      </c>
      <c r="C493" t="s">
        <v>10</v>
      </c>
      <c r="D493" s="2">
        <v>747</v>
      </c>
      <c r="E493" s="1">
        <v>44075</v>
      </c>
      <c r="F493">
        <v>1</v>
      </c>
      <c r="G493">
        <v>9</v>
      </c>
      <c r="H493">
        <v>2020</v>
      </c>
      <c r="I493">
        <v>3735</v>
      </c>
      <c r="J493">
        <v>1494</v>
      </c>
      <c r="N493" s="1"/>
    </row>
    <row r="494" spans="1:14">
      <c r="A494">
        <v>1</v>
      </c>
      <c r="B494">
        <v>675035</v>
      </c>
      <c r="C494" t="s">
        <v>10</v>
      </c>
      <c r="D494" s="2">
        <v>218</v>
      </c>
      <c r="E494" s="1">
        <v>44075</v>
      </c>
      <c r="F494">
        <v>1</v>
      </c>
      <c r="G494">
        <v>9</v>
      </c>
      <c r="H494">
        <v>2020</v>
      </c>
      <c r="I494">
        <v>1090</v>
      </c>
      <c r="J494">
        <v>436</v>
      </c>
      <c r="N494" s="1"/>
    </row>
    <row r="495" spans="1:14">
      <c r="A495">
        <v>3</v>
      </c>
      <c r="B495">
        <v>255145</v>
      </c>
      <c r="C495" t="s">
        <v>10</v>
      </c>
      <c r="D495" s="2">
        <v>2074</v>
      </c>
      <c r="E495" s="1">
        <v>44075</v>
      </c>
      <c r="F495">
        <v>1</v>
      </c>
      <c r="G495">
        <v>9</v>
      </c>
      <c r="H495">
        <v>2020</v>
      </c>
      <c r="I495">
        <v>10370</v>
      </c>
      <c r="J495">
        <v>4148</v>
      </c>
      <c r="N495" s="1"/>
    </row>
    <row r="496" spans="1:14">
      <c r="A496">
        <v>5</v>
      </c>
      <c r="B496">
        <v>436748</v>
      </c>
      <c r="C496" t="s">
        <v>10</v>
      </c>
      <c r="D496" s="2">
        <v>1056</v>
      </c>
      <c r="E496" s="1">
        <v>44075</v>
      </c>
      <c r="F496">
        <v>1</v>
      </c>
      <c r="G496">
        <v>9</v>
      </c>
      <c r="H496">
        <v>2020</v>
      </c>
      <c r="I496">
        <v>5280</v>
      </c>
      <c r="J496">
        <v>2112</v>
      </c>
      <c r="N496" s="1"/>
    </row>
    <row r="497" spans="1:14">
      <c r="A497">
        <v>5</v>
      </c>
      <c r="B497">
        <v>587035</v>
      </c>
      <c r="C497" t="s">
        <v>10</v>
      </c>
      <c r="D497" s="2">
        <v>2620</v>
      </c>
      <c r="E497" s="1">
        <v>44075</v>
      </c>
      <c r="F497">
        <v>1</v>
      </c>
      <c r="G497">
        <v>9</v>
      </c>
      <c r="H497">
        <v>2020</v>
      </c>
      <c r="I497">
        <v>13100</v>
      </c>
      <c r="J497">
        <v>5240</v>
      </c>
      <c r="N497" s="1"/>
    </row>
    <row r="498" spans="1:14">
      <c r="A498">
        <v>3</v>
      </c>
      <c r="B498">
        <v>293863</v>
      </c>
      <c r="C498" t="s">
        <v>10</v>
      </c>
      <c r="D498" s="2">
        <v>1535</v>
      </c>
      <c r="E498" s="1">
        <v>44075</v>
      </c>
      <c r="F498">
        <v>1</v>
      </c>
      <c r="G498">
        <v>9</v>
      </c>
      <c r="H498">
        <v>2020</v>
      </c>
      <c r="I498">
        <v>7675</v>
      </c>
      <c r="J498">
        <v>3070</v>
      </c>
      <c r="N498" s="1"/>
    </row>
    <row r="499" spans="1:14">
      <c r="A499">
        <v>3</v>
      </c>
      <c r="B499">
        <v>100553</v>
      </c>
      <c r="C499" t="s">
        <v>10</v>
      </c>
      <c r="D499" s="2">
        <v>1934</v>
      </c>
      <c r="E499" s="1">
        <v>44075</v>
      </c>
      <c r="F499">
        <v>1</v>
      </c>
      <c r="G499">
        <v>9</v>
      </c>
      <c r="H499">
        <v>2020</v>
      </c>
      <c r="I499">
        <v>9670</v>
      </c>
      <c r="J499">
        <v>3868</v>
      </c>
      <c r="N499" s="1"/>
    </row>
    <row r="500" spans="1:14">
      <c r="A500">
        <v>3</v>
      </c>
      <c r="B500">
        <v>788375</v>
      </c>
      <c r="C500" t="s">
        <v>10</v>
      </c>
      <c r="D500" s="2">
        <v>2993</v>
      </c>
      <c r="E500" s="1">
        <v>44075</v>
      </c>
      <c r="F500">
        <v>1</v>
      </c>
      <c r="G500">
        <v>9</v>
      </c>
      <c r="H500">
        <v>2020</v>
      </c>
      <c r="I500">
        <v>14965</v>
      </c>
      <c r="J500">
        <v>5986</v>
      </c>
      <c r="N500" s="1"/>
    </row>
    <row r="501" spans="1:14">
      <c r="A501">
        <v>4</v>
      </c>
      <c r="B501">
        <v>544855</v>
      </c>
      <c r="C501" t="s">
        <v>10</v>
      </c>
      <c r="D501" s="2">
        <v>1767</v>
      </c>
      <c r="E501" s="1">
        <v>44075</v>
      </c>
      <c r="F501">
        <v>1</v>
      </c>
      <c r="G501">
        <v>9</v>
      </c>
      <c r="H501">
        <v>2020</v>
      </c>
      <c r="I501">
        <v>8835</v>
      </c>
      <c r="J501">
        <v>3534</v>
      </c>
      <c r="N501" s="1"/>
    </row>
    <row r="502" spans="1:14">
      <c r="A502">
        <v>4</v>
      </c>
      <c r="B502">
        <v>366159</v>
      </c>
      <c r="C502" t="s">
        <v>11</v>
      </c>
      <c r="D502" s="2">
        <v>2146</v>
      </c>
      <c r="E502" s="1">
        <v>44075</v>
      </c>
      <c r="F502">
        <v>1</v>
      </c>
      <c r="G502">
        <v>9</v>
      </c>
      <c r="H502">
        <v>2020</v>
      </c>
      <c r="I502">
        <v>2146</v>
      </c>
      <c r="J502">
        <v>1073</v>
      </c>
      <c r="N502" s="1"/>
    </row>
    <row r="503" spans="1:14">
      <c r="A503">
        <v>2</v>
      </c>
      <c r="B503">
        <v>154432</v>
      </c>
      <c r="C503" t="s">
        <v>11</v>
      </c>
      <c r="D503" s="2">
        <v>544</v>
      </c>
      <c r="E503" s="1">
        <v>44075</v>
      </c>
      <c r="F503">
        <v>1</v>
      </c>
      <c r="G503">
        <v>9</v>
      </c>
      <c r="H503">
        <v>2020</v>
      </c>
      <c r="I503">
        <v>544</v>
      </c>
      <c r="J503">
        <v>272</v>
      </c>
      <c r="N503" s="1"/>
    </row>
    <row r="504" spans="1:14">
      <c r="A504">
        <v>3</v>
      </c>
      <c r="B504">
        <v>724808</v>
      </c>
      <c r="C504" t="s">
        <v>11</v>
      </c>
      <c r="D504" s="2">
        <v>2328</v>
      </c>
      <c r="E504" s="1">
        <v>44075</v>
      </c>
      <c r="F504">
        <v>1</v>
      </c>
      <c r="G504">
        <v>9</v>
      </c>
      <c r="H504">
        <v>2020</v>
      </c>
      <c r="I504">
        <v>2328</v>
      </c>
      <c r="J504">
        <v>1164</v>
      </c>
      <c r="N504" s="1"/>
    </row>
    <row r="505" spans="1:14">
      <c r="A505">
        <v>4</v>
      </c>
      <c r="B505">
        <v>741765</v>
      </c>
      <c r="C505" t="s">
        <v>11</v>
      </c>
      <c r="D505" s="2">
        <v>2420</v>
      </c>
      <c r="E505" s="1">
        <v>44075</v>
      </c>
      <c r="F505">
        <v>1</v>
      </c>
      <c r="G505">
        <v>9</v>
      </c>
      <c r="H505">
        <v>2020</v>
      </c>
      <c r="I505">
        <v>2420</v>
      </c>
      <c r="J505">
        <v>1210</v>
      </c>
      <c r="N505" s="1"/>
    </row>
    <row r="506" spans="1:14">
      <c r="A506">
        <v>2</v>
      </c>
      <c r="B506">
        <v>397049</v>
      </c>
      <c r="C506" t="s">
        <v>11</v>
      </c>
      <c r="D506" s="2">
        <v>388</v>
      </c>
      <c r="E506" s="1">
        <v>44075</v>
      </c>
      <c r="F506">
        <v>1</v>
      </c>
      <c r="G506">
        <v>9</v>
      </c>
      <c r="H506">
        <v>2020</v>
      </c>
      <c r="I506">
        <v>388</v>
      </c>
      <c r="J506">
        <v>194</v>
      </c>
      <c r="N506" s="1"/>
    </row>
    <row r="507" spans="1:14">
      <c r="A507">
        <v>3</v>
      </c>
      <c r="B507">
        <v>788478</v>
      </c>
      <c r="C507" t="s">
        <v>12</v>
      </c>
      <c r="D507" s="2">
        <v>1907</v>
      </c>
      <c r="E507" s="1">
        <v>44075</v>
      </c>
      <c r="F507">
        <v>1</v>
      </c>
      <c r="G507">
        <v>9</v>
      </c>
      <c r="H507">
        <v>2020</v>
      </c>
      <c r="I507">
        <v>9535</v>
      </c>
      <c r="J507">
        <v>4195.4000000000005</v>
      </c>
      <c r="N507" s="1"/>
    </row>
    <row r="508" spans="1:14">
      <c r="A508">
        <v>3</v>
      </c>
      <c r="B508">
        <v>551372</v>
      </c>
      <c r="C508" t="s">
        <v>12</v>
      </c>
      <c r="D508" s="2">
        <v>1679</v>
      </c>
      <c r="E508" s="1">
        <v>44075</v>
      </c>
      <c r="F508">
        <v>1</v>
      </c>
      <c r="G508">
        <v>9</v>
      </c>
      <c r="H508">
        <v>2020</v>
      </c>
      <c r="I508">
        <v>8395</v>
      </c>
      <c r="J508">
        <v>3693.8</v>
      </c>
      <c r="N508" s="1"/>
    </row>
    <row r="509" spans="1:14">
      <c r="A509">
        <v>3</v>
      </c>
      <c r="B509">
        <v>271981</v>
      </c>
      <c r="C509" t="s">
        <v>12</v>
      </c>
      <c r="D509" s="2">
        <v>2876</v>
      </c>
      <c r="E509" s="1">
        <v>44075</v>
      </c>
      <c r="F509">
        <v>1</v>
      </c>
      <c r="G509">
        <v>9</v>
      </c>
      <c r="H509">
        <v>2020</v>
      </c>
      <c r="I509">
        <v>14380</v>
      </c>
      <c r="J509">
        <v>6327.2000000000007</v>
      </c>
      <c r="N509" s="1"/>
    </row>
    <row r="510" spans="1:14">
      <c r="A510">
        <v>3</v>
      </c>
      <c r="B510">
        <v>444725</v>
      </c>
      <c r="C510" t="s">
        <v>12</v>
      </c>
      <c r="D510" s="2">
        <v>2071</v>
      </c>
      <c r="E510" s="1">
        <v>44075</v>
      </c>
      <c r="F510">
        <v>1</v>
      </c>
      <c r="G510">
        <v>9</v>
      </c>
      <c r="H510">
        <v>2020</v>
      </c>
      <c r="I510">
        <v>10355</v>
      </c>
      <c r="J510">
        <v>4556.2000000000007</v>
      </c>
      <c r="N510" s="1"/>
    </row>
    <row r="511" spans="1:14">
      <c r="A511">
        <v>3</v>
      </c>
      <c r="B511">
        <v>267107</v>
      </c>
      <c r="C511" t="s">
        <v>12</v>
      </c>
      <c r="D511" s="2">
        <v>707</v>
      </c>
      <c r="E511" s="1">
        <v>44075</v>
      </c>
      <c r="F511">
        <v>1</v>
      </c>
      <c r="G511">
        <v>9</v>
      </c>
      <c r="H511">
        <v>2020</v>
      </c>
      <c r="I511">
        <v>3535</v>
      </c>
      <c r="J511">
        <v>1555.4</v>
      </c>
      <c r="N511" s="1"/>
    </row>
    <row r="512" spans="1:14">
      <c r="A512">
        <v>4</v>
      </c>
      <c r="B512">
        <v>869055</v>
      </c>
      <c r="C512" t="s">
        <v>13</v>
      </c>
      <c r="D512" s="2">
        <v>1445</v>
      </c>
      <c r="E512" s="1">
        <v>44075</v>
      </c>
      <c r="F512">
        <v>1</v>
      </c>
      <c r="G512">
        <v>9</v>
      </c>
      <c r="H512">
        <v>2020</v>
      </c>
      <c r="I512">
        <v>5780</v>
      </c>
      <c r="J512">
        <v>2167.5</v>
      </c>
      <c r="N512" s="1"/>
    </row>
    <row r="513" spans="1:14">
      <c r="A513">
        <v>5</v>
      </c>
      <c r="B513">
        <v>111799</v>
      </c>
      <c r="C513" t="s">
        <v>13</v>
      </c>
      <c r="D513" s="2">
        <v>2671</v>
      </c>
      <c r="E513" s="1">
        <v>44075</v>
      </c>
      <c r="F513">
        <v>1</v>
      </c>
      <c r="G513">
        <v>9</v>
      </c>
      <c r="H513">
        <v>2020</v>
      </c>
      <c r="I513">
        <v>10684</v>
      </c>
      <c r="J513">
        <v>4006.5</v>
      </c>
      <c r="N513" s="1"/>
    </row>
    <row r="514" spans="1:14">
      <c r="A514">
        <v>3</v>
      </c>
      <c r="B514">
        <v>863607</v>
      </c>
      <c r="C514" t="s">
        <v>13</v>
      </c>
      <c r="D514" s="2">
        <v>1947</v>
      </c>
      <c r="E514" s="1">
        <v>44075</v>
      </c>
      <c r="F514">
        <v>1</v>
      </c>
      <c r="G514">
        <v>9</v>
      </c>
      <c r="H514">
        <v>2020</v>
      </c>
      <c r="I514">
        <v>7788</v>
      </c>
      <c r="J514">
        <v>2920.5</v>
      </c>
      <c r="N514" s="1"/>
    </row>
    <row r="515" spans="1:14">
      <c r="A515">
        <v>4</v>
      </c>
      <c r="B515">
        <v>443447</v>
      </c>
      <c r="C515" t="s">
        <v>13</v>
      </c>
      <c r="D515" s="2">
        <v>562</v>
      </c>
      <c r="E515" s="1">
        <v>44075</v>
      </c>
      <c r="F515">
        <v>1</v>
      </c>
      <c r="G515">
        <v>9</v>
      </c>
      <c r="H515">
        <v>2020</v>
      </c>
      <c r="I515">
        <v>2248</v>
      </c>
      <c r="J515">
        <v>843</v>
      </c>
      <c r="N515" s="1"/>
    </row>
    <row r="516" spans="1:14">
      <c r="A516">
        <v>2</v>
      </c>
      <c r="B516">
        <v>203224</v>
      </c>
      <c r="C516" t="s">
        <v>13</v>
      </c>
      <c r="D516" s="2">
        <v>1580</v>
      </c>
      <c r="E516" s="1">
        <v>44075</v>
      </c>
      <c r="F516">
        <v>1</v>
      </c>
      <c r="G516">
        <v>9</v>
      </c>
      <c r="H516">
        <v>2020</v>
      </c>
      <c r="I516">
        <v>6320</v>
      </c>
      <c r="J516">
        <v>2370</v>
      </c>
      <c r="N516" s="1"/>
    </row>
    <row r="517" spans="1:14">
      <c r="A517">
        <v>5</v>
      </c>
      <c r="B517">
        <v>505496</v>
      </c>
      <c r="C517" t="s">
        <v>14</v>
      </c>
      <c r="D517" s="2">
        <v>2151</v>
      </c>
      <c r="E517" s="1">
        <v>44075</v>
      </c>
      <c r="F517">
        <v>1</v>
      </c>
      <c r="G517">
        <v>9</v>
      </c>
      <c r="H517">
        <v>2020</v>
      </c>
      <c r="I517">
        <v>6453</v>
      </c>
      <c r="J517">
        <v>2688.75</v>
      </c>
      <c r="N517" s="1"/>
    </row>
    <row r="518" spans="1:14">
      <c r="A518">
        <v>2</v>
      </c>
      <c r="B518">
        <v>354480</v>
      </c>
      <c r="C518" t="s">
        <v>14</v>
      </c>
      <c r="D518" s="2">
        <v>986</v>
      </c>
      <c r="E518" s="1">
        <v>44075</v>
      </c>
      <c r="F518">
        <v>1</v>
      </c>
      <c r="G518">
        <v>9</v>
      </c>
      <c r="H518">
        <v>2020</v>
      </c>
      <c r="I518">
        <v>2958</v>
      </c>
      <c r="J518">
        <v>1232.5</v>
      </c>
      <c r="N518" s="1"/>
    </row>
    <row r="519" spans="1:14">
      <c r="A519">
        <v>4</v>
      </c>
      <c r="B519">
        <v>711362</v>
      </c>
      <c r="C519" t="s">
        <v>14</v>
      </c>
      <c r="D519" s="2">
        <v>2134</v>
      </c>
      <c r="E519" s="1">
        <v>44075</v>
      </c>
      <c r="F519">
        <v>1</v>
      </c>
      <c r="G519">
        <v>9</v>
      </c>
      <c r="H519">
        <v>2020</v>
      </c>
      <c r="I519">
        <v>6402</v>
      </c>
      <c r="J519">
        <v>2667.5</v>
      </c>
      <c r="N519" s="1"/>
    </row>
    <row r="520" spans="1:14">
      <c r="A520">
        <v>2</v>
      </c>
      <c r="B520">
        <v>390355</v>
      </c>
      <c r="C520" t="s">
        <v>14</v>
      </c>
      <c r="D520" s="2">
        <v>1867</v>
      </c>
      <c r="E520" s="1">
        <v>44075</v>
      </c>
      <c r="F520">
        <v>1</v>
      </c>
      <c r="G520">
        <v>9</v>
      </c>
      <c r="H520">
        <v>2020</v>
      </c>
      <c r="I520">
        <v>5601</v>
      </c>
      <c r="J520">
        <v>2333.75</v>
      </c>
      <c r="N520" s="1"/>
    </row>
    <row r="521" spans="1:14">
      <c r="A521">
        <v>5</v>
      </c>
      <c r="B521">
        <v>494850</v>
      </c>
      <c r="C521" t="s">
        <v>14</v>
      </c>
      <c r="D521" s="2">
        <v>432</v>
      </c>
      <c r="E521" s="1">
        <v>44075</v>
      </c>
      <c r="F521">
        <v>1</v>
      </c>
      <c r="G521">
        <v>9</v>
      </c>
      <c r="H521">
        <v>2020</v>
      </c>
      <c r="I521">
        <v>1296</v>
      </c>
      <c r="J521">
        <v>540</v>
      </c>
      <c r="N521" s="1"/>
    </row>
    <row r="522" spans="1:14">
      <c r="A522">
        <v>1</v>
      </c>
      <c r="B522">
        <v>529471</v>
      </c>
      <c r="C522" t="s">
        <v>15</v>
      </c>
      <c r="D522" s="2">
        <v>2087</v>
      </c>
      <c r="E522" s="1">
        <v>44075</v>
      </c>
      <c r="F522">
        <v>1</v>
      </c>
      <c r="G522">
        <v>9</v>
      </c>
      <c r="H522">
        <v>2020</v>
      </c>
      <c r="I522">
        <v>12522</v>
      </c>
      <c r="J522">
        <v>5739.25</v>
      </c>
      <c r="N522" s="1"/>
    </row>
    <row r="523" spans="1:14">
      <c r="A523">
        <v>2</v>
      </c>
      <c r="B523">
        <v>609418</v>
      </c>
      <c r="C523" t="s">
        <v>15</v>
      </c>
      <c r="D523" s="2">
        <v>567</v>
      </c>
      <c r="E523" s="1">
        <v>44075</v>
      </c>
      <c r="F523">
        <v>1</v>
      </c>
      <c r="G523">
        <v>9</v>
      </c>
      <c r="H523">
        <v>2020</v>
      </c>
      <c r="I523">
        <v>3402</v>
      </c>
      <c r="J523">
        <v>1559.25</v>
      </c>
      <c r="N523" s="1"/>
    </row>
    <row r="524" spans="1:14">
      <c r="A524">
        <v>5</v>
      </c>
      <c r="B524">
        <v>764088</v>
      </c>
      <c r="C524" t="s">
        <v>15</v>
      </c>
      <c r="D524" s="2">
        <v>2110</v>
      </c>
      <c r="E524" s="1">
        <v>44075</v>
      </c>
      <c r="F524">
        <v>1</v>
      </c>
      <c r="G524">
        <v>9</v>
      </c>
      <c r="H524">
        <v>2020</v>
      </c>
      <c r="I524">
        <v>12660</v>
      </c>
      <c r="J524">
        <v>5802.5</v>
      </c>
      <c r="N524" s="1"/>
    </row>
    <row r="525" spans="1:14">
      <c r="A525">
        <v>3</v>
      </c>
      <c r="B525">
        <v>748204</v>
      </c>
      <c r="C525" t="s">
        <v>15</v>
      </c>
      <c r="D525" s="2">
        <v>1596</v>
      </c>
      <c r="E525" s="1">
        <v>44075</v>
      </c>
      <c r="F525">
        <v>1</v>
      </c>
      <c r="G525">
        <v>9</v>
      </c>
      <c r="H525">
        <v>2020</v>
      </c>
      <c r="I525">
        <v>9576</v>
      </c>
      <c r="J525">
        <v>4389</v>
      </c>
      <c r="N525" s="1"/>
    </row>
    <row r="526" spans="1:14">
      <c r="A526">
        <v>2</v>
      </c>
      <c r="B526">
        <v>253981</v>
      </c>
      <c r="C526" t="s">
        <v>15</v>
      </c>
      <c r="D526" s="2">
        <v>663</v>
      </c>
      <c r="E526" s="1">
        <v>44075</v>
      </c>
      <c r="F526">
        <v>1</v>
      </c>
      <c r="G526">
        <v>9</v>
      </c>
      <c r="H526">
        <v>2020</v>
      </c>
      <c r="I526">
        <v>3978</v>
      </c>
      <c r="J526">
        <v>1823.25</v>
      </c>
      <c r="N526" s="1"/>
    </row>
    <row r="527" spans="1:14">
      <c r="A527">
        <v>2</v>
      </c>
      <c r="B527">
        <v>308620</v>
      </c>
      <c r="C527" t="s">
        <v>10</v>
      </c>
      <c r="D527" s="2">
        <v>1143</v>
      </c>
      <c r="E527" s="1">
        <v>44105</v>
      </c>
      <c r="F527">
        <v>1</v>
      </c>
      <c r="G527">
        <v>10</v>
      </c>
      <c r="H527">
        <v>2020</v>
      </c>
      <c r="I527">
        <v>5715</v>
      </c>
      <c r="J527">
        <v>2286</v>
      </c>
      <c r="N527" s="1"/>
    </row>
    <row r="528" spans="1:14">
      <c r="A528">
        <v>4</v>
      </c>
      <c r="B528">
        <v>776532</v>
      </c>
      <c r="C528" t="s">
        <v>10</v>
      </c>
      <c r="D528" s="2">
        <v>1295</v>
      </c>
      <c r="E528" s="1">
        <v>44105</v>
      </c>
      <c r="F528">
        <v>1</v>
      </c>
      <c r="G528">
        <v>10</v>
      </c>
      <c r="H528">
        <v>2020</v>
      </c>
      <c r="I528">
        <v>6475</v>
      </c>
      <c r="J528">
        <v>2590</v>
      </c>
      <c r="N528" s="1"/>
    </row>
    <row r="529" spans="1:14">
      <c r="A529">
        <v>2</v>
      </c>
      <c r="B529">
        <v>164895</v>
      </c>
      <c r="C529" t="s">
        <v>10</v>
      </c>
      <c r="D529" s="2">
        <v>2009</v>
      </c>
      <c r="E529" s="1">
        <v>44105</v>
      </c>
      <c r="F529">
        <v>1</v>
      </c>
      <c r="G529">
        <v>10</v>
      </c>
      <c r="H529">
        <v>2020</v>
      </c>
      <c r="I529">
        <v>10045</v>
      </c>
      <c r="J529">
        <v>4018</v>
      </c>
      <c r="N529" s="1"/>
    </row>
    <row r="530" spans="1:14">
      <c r="A530">
        <v>4</v>
      </c>
      <c r="B530">
        <v>872825</v>
      </c>
      <c r="C530" t="s">
        <v>10</v>
      </c>
      <c r="D530" s="2">
        <v>2031</v>
      </c>
      <c r="E530" s="1">
        <v>44105</v>
      </c>
      <c r="F530">
        <v>1</v>
      </c>
      <c r="G530">
        <v>10</v>
      </c>
      <c r="H530">
        <v>2020</v>
      </c>
      <c r="I530">
        <v>10155</v>
      </c>
      <c r="J530">
        <v>4062</v>
      </c>
      <c r="N530" s="1"/>
    </row>
    <row r="531" spans="1:14">
      <c r="A531">
        <v>5</v>
      </c>
      <c r="B531">
        <v>335658</v>
      </c>
      <c r="C531" t="s">
        <v>10</v>
      </c>
      <c r="D531" s="2">
        <v>2689</v>
      </c>
      <c r="E531" s="1">
        <v>44105</v>
      </c>
      <c r="F531">
        <v>1</v>
      </c>
      <c r="G531">
        <v>10</v>
      </c>
      <c r="H531">
        <v>2020</v>
      </c>
      <c r="I531">
        <v>13445</v>
      </c>
      <c r="J531">
        <v>5378</v>
      </c>
      <c r="N531" s="1"/>
    </row>
    <row r="532" spans="1:14">
      <c r="A532">
        <v>1</v>
      </c>
      <c r="B532">
        <v>852827</v>
      </c>
      <c r="C532" t="s">
        <v>10</v>
      </c>
      <c r="D532" s="2">
        <v>861</v>
      </c>
      <c r="E532" s="1">
        <v>44105</v>
      </c>
      <c r="F532">
        <v>1</v>
      </c>
      <c r="G532">
        <v>10</v>
      </c>
      <c r="H532">
        <v>2020</v>
      </c>
      <c r="I532">
        <v>4305</v>
      </c>
      <c r="J532">
        <v>1722</v>
      </c>
      <c r="N532" s="1"/>
    </row>
    <row r="533" spans="1:14">
      <c r="A533">
        <v>2</v>
      </c>
      <c r="B533">
        <v>203608</v>
      </c>
      <c r="C533" t="s">
        <v>10</v>
      </c>
      <c r="D533" s="2">
        <v>1153</v>
      </c>
      <c r="E533" s="1">
        <v>44105</v>
      </c>
      <c r="F533">
        <v>1</v>
      </c>
      <c r="G533">
        <v>10</v>
      </c>
      <c r="H533">
        <v>2020</v>
      </c>
      <c r="I533">
        <v>5765</v>
      </c>
      <c r="J533">
        <v>2306</v>
      </c>
      <c r="N533" s="1"/>
    </row>
    <row r="534" spans="1:14">
      <c r="A534">
        <v>3</v>
      </c>
      <c r="B534">
        <v>171515</v>
      </c>
      <c r="C534" t="s">
        <v>10</v>
      </c>
      <c r="D534" s="2">
        <v>1227</v>
      </c>
      <c r="E534" s="1">
        <v>44105</v>
      </c>
      <c r="F534">
        <v>1</v>
      </c>
      <c r="G534">
        <v>10</v>
      </c>
      <c r="H534">
        <v>2020</v>
      </c>
      <c r="I534">
        <v>6135</v>
      </c>
      <c r="J534">
        <v>2454</v>
      </c>
      <c r="N534" s="1"/>
    </row>
    <row r="535" spans="1:14">
      <c r="A535">
        <v>2</v>
      </c>
      <c r="B535">
        <v>336267</v>
      </c>
      <c r="C535" t="s">
        <v>10</v>
      </c>
      <c r="D535" s="2">
        <v>360</v>
      </c>
      <c r="E535" s="1">
        <v>44105</v>
      </c>
      <c r="F535">
        <v>1</v>
      </c>
      <c r="G535">
        <v>10</v>
      </c>
      <c r="H535">
        <v>2020</v>
      </c>
      <c r="I535">
        <v>1800</v>
      </c>
      <c r="J535">
        <v>720</v>
      </c>
      <c r="N535" s="1"/>
    </row>
    <row r="536" spans="1:14">
      <c r="A536">
        <v>3</v>
      </c>
      <c r="B536">
        <v>565251</v>
      </c>
      <c r="C536" t="s">
        <v>10</v>
      </c>
      <c r="D536" s="2">
        <v>241</v>
      </c>
      <c r="E536" s="1">
        <v>44105</v>
      </c>
      <c r="F536">
        <v>1</v>
      </c>
      <c r="G536">
        <v>10</v>
      </c>
      <c r="H536">
        <v>2020</v>
      </c>
      <c r="I536">
        <v>1205</v>
      </c>
      <c r="J536">
        <v>482</v>
      </c>
      <c r="N536" s="1"/>
    </row>
    <row r="537" spans="1:14">
      <c r="A537">
        <v>3</v>
      </c>
      <c r="B537">
        <v>120842</v>
      </c>
      <c r="C537" t="s">
        <v>10</v>
      </c>
      <c r="D537" s="2">
        <v>2441</v>
      </c>
      <c r="E537" s="1">
        <v>44105</v>
      </c>
      <c r="F537">
        <v>1</v>
      </c>
      <c r="G537">
        <v>10</v>
      </c>
      <c r="H537">
        <v>2020</v>
      </c>
      <c r="I537">
        <v>12205</v>
      </c>
      <c r="J537">
        <v>4882</v>
      </c>
      <c r="N537" s="1"/>
    </row>
    <row r="538" spans="1:14">
      <c r="A538">
        <v>5</v>
      </c>
      <c r="B538">
        <v>714255</v>
      </c>
      <c r="C538" t="s">
        <v>10</v>
      </c>
      <c r="D538" s="2">
        <v>2156</v>
      </c>
      <c r="E538" s="1">
        <v>44105</v>
      </c>
      <c r="F538">
        <v>1</v>
      </c>
      <c r="G538">
        <v>10</v>
      </c>
      <c r="H538">
        <v>2020</v>
      </c>
      <c r="I538">
        <v>10780</v>
      </c>
      <c r="J538">
        <v>4312</v>
      </c>
      <c r="N538" s="1"/>
    </row>
    <row r="539" spans="1:14">
      <c r="A539">
        <v>3</v>
      </c>
      <c r="B539">
        <v>170514</v>
      </c>
      <c r="C539" t="s">
        <v>10</v>
      </c>
      <c r="D539" s="2">
        <v>905</v>
      </c>
      <c r="E539" s="1">
        <v>44105</v>
      </c>
      <c r="F539">
        <v>1</v>
      </c>
      <c r="G539">
        <v>10</v>
      </c>
      <c r="H539">
        <v>2020</v>
      </c>
      <c r="I539">
        <v>4525</v>
      </c>
      <c r="J539">
        <v>1810</v>
      </c>
      <c r="N539" s="1"/>
    </row>
    <row r="540" spans="1:14">
      <c r="A540">
        <v>5</v>
      </c>
      <c r="B540">
        <v>626543</v>
      </c>
      <c r="C540" t="s">
        <v>10</v>
      </c>
      <c r="D540" s="2">
        <v>1565</v>
      </c>
      <c r="E540" s="1">
        <v>44105</v>
      </c>
      <c r="F540">
        <v>1</v>
      </c>
      <c r="G540">
        <v>10</v>
      </c>
      <c r="H540">
        <v>2020</v>
      </c>
      <c r="I540">
        <v>7825</v>
      </c>
      <c r="J540">
        <v>3130</v>
      </c>
      <c r="N540" s="1"/>
    </row>
    <row r="541" spans="1:14">
      <c r="A541">
        <v>3</v>
      </c>
      <c r="B541">
        <v>374010</v>
      </c>
      <c r="C541" t="s">
        <v>10</v>
      </c>
      <c r="D541" s="2">
        <v>1249</v>
      </c>
      <c r="E541" s="1">
        <v>44105</v>
      </c>
      <c r="F541">
        <v>1</v>
      </c>
      <c r="G541">
        <v>10</v>
      </c>
      <c r="H541">
        <v>2020</v>
      </c>
      <c r="I541">
        <v>6245</v>
      </c>
      <c r="J541">
        <v>2498</v>
      </c>
      <c r="N541" s="1"/>
    </row>
    <row r="542" spans="1:14">
      <c r="A542">
        <v>2</v>
      </c>
      <c r="B542">
        <v>158597</v>
      </c>
      <c r="C542" t="s">
        <v>10</v>
      </c>
      <c r="D542" s="2">
        <v>1393</v>
      </c>
      <c r="E542" s="1">
        <v>44105</v>
      </c>
      <c r="F542">
        <v>1</v>
      </c>
      <c r="G542">
        <v>10</v>
      </c>
      <c r="H542">
        <v>2020</v>
      </c>
      <c r="I542">
        <v>6965</v>
      </c>
      <c r="J542">
        <v>2786</v>
      </c>
      <c r="N542" s="1"/>
    </row>
    <row r="543" spans="1:14">
      <c r="A543">
        <v>3</v>
      </c>
      <c r="B543">
        <v>898886</v>
      </c>
      <c r="C543" t="s">
        <v>10</v>
      </c>
      <c r="D543" s="2">
        <v>2914</v>
      </c>
      <c r="E543" s="1">
        <v>44105</v>
      </c>
      <c r="F543">
        <v>1</v>
      </c>
      <c r="G543">
        <v>10</v>
      </c>
      <c r="H543">
        <v>2020</v>
      </c>
      <c r="I543">
        <v>14570</v>
      </c>
      <c r="J543">
        <v>5828</v>
      </c>
      <c r="N543" s="1"/>
    </row>
    <row r="544" spans="1:14">
      <c r="A544">
        <v>2</v>
      </c>
      <c r="B544">
        <v>429735</v>
      </c>
      <c r="C544" t="s">
        <v>10</v>
      </c>
      <c r="D544" s="2">
        <v>1731</v>
      </c>
      <c r="E544" s="1">
        <v>44105</v>
      </c>
      <c r="F544">
        <v>1</v>
      </c>
      <c r="G544">
        <v>10</v>
      </c>
      <c r="H544">
        <v>2020</v>
      </c>
      <c r="I544">
        <v>8655</v>
      </c>
      <c r="J544">
        <v>3462</v>
      </c>
      <c r="N544" s="1"/>
    </row>
    <row r="545" spans="1:14">
      <c r="A545">
        <v>2</v>
      </c>
      <c r="B545">
        <v>332447</v>
      </c>
      <c r="C545" t="s">
        <v>10</v>
      </c>
      <c r="D545" s="2">
        <v>1085</v>
      </c>
      <c r="E545" s="1">
        <v>44105</v>
      </c>
      <c r="F545">
        <v>1</v>
      </c>
      <c r="G545">
        <v>10</v>
      </c>
      <c r="H545">
        <v>2020</v>
      </c>
      <c r="I545">
        <v>5425</v>
      </c>
      <c r="J545">
        <v>2170</v>
      </c>
      <c r="N545" s="1"/>
    </row>
    <row r="546" spans="1:14">
      <c r="A546">
        <v>2</v>
      </c>
      <c r="B546">
        <v>837170</v>
      </c>
      <c r="C546" t="s">
        <v>10</v>
      </c>
      <c r="D546" s="2">
        <v>1175</v>
      </c>
      <c r="E546" s="1">
        <v>44105</v>
      </c>
      <c r="F546">
        <v>1</v>
      </c>
      <c r="G546">
        <v>10</v>
      </c>
      <c r="H546">
        <v>2020</v>
      </c>
      <c r="I546">
        <v>5875</v>
      </c>
      <c r="J546">
        <v>2350</v>
      </c>
      <c r="N546" s="1"/>
    </row>
    <row r="547" spans="1:14">
      <c r="A547">
        <v>1</v>
      </c>
      <c r="B547">
        <v>326089</v>
      </c>
      <c r="C547" t="s">
        <v>11</v>
      </c>
      <c r="D547" s="2">
        <v>1566</v>
      </c>
      <c r="E547" s="1">
        <v>44105</v>
      </c>
      <c r="F547">
        <v>1</v>
      </c>
      <c r="G547">
        <v>10</v>
      </c>
      <c r="H547">
        <v>2020</v>
      </c>
      <c r="I547">
        <v>1566</v>
      </c>
      <c r="J547">
        <v>783</v>
      </c>
      <c r="N547" s="1"/>
    </row>
    <row r="548" spans="1:14">
      <c r="A548">
        <v>1</v>
      </c>
      <c r="B548">
        <v>801641</v>
      </c>
      <c r="C548" t="s">
        <v>11</v>
      </c>
      <c r="D548" s="2">
        <v>2031</v>
      </c>
      <c r="E548" s="1">
        <v>44105</v>
      </c>
      <c r="F548">
        <v>1</v>
      </c>
      <c r="G548">
        <v>10</v>
      </c>
      <c r="H548">
        <v>2020</v>
      </c>
      <c r="I548">
        <v>2031</v>
      </c>
      <c r="J548">
        <v>1015.5</v>
      </c>
      <c r="N548" s="1"/>
    </row>
    <row r="549" spans="1:14">
      <c r="A549">
        <v>4</v>
      </c>
      <c r="B549">
        <v>574744</v>
      </c>
      <c r="C549" t="s">
        <v>11</v>
      </c>
      <c r="D549" s="2">
        <v>2021</v>
      </c>
      <c r="E549" s="1">
        <v>44105</v>
      </c>
      <c r="F549">
        <v>1</v>
      </c>
      <c r="G549">
        <v>10</v>
      </c>
      <c r="H549">
        <v>2020</v>
      </c>
      <c r="I549">
        <v>2021</v>
      </c>
      <c r="J549">
        <v>1010.5</v>
      </c>
      <c r="N549" s="1"/>
    </row>
    <row r="550" spans="1:14">
      <c r="A550">
        <v>4</v>
      </c>
      <c r="B550">
        <v>757336</v>
      </c>
      <c r="C550" t="s">
        <v>11</v>
      </c>
      <c r="D550" s="2">
        <v>1976</v>
      </c>
      <c r="E550" s="1">
        <v>44105</v>
      </c>
      <c r="F550">
        <v>1</v>
      </c>
      <c r="G550">
        <v>10</v>
      </c>
      <c r="H550">
        <v>2020</v>
      </c>
      <c r="I550">
        <v>1976</v>
      </c>
      <c r="J550">
        <v>988</v>
      </c>
      <c r="N550" s="1"/>
    </row>
    <row r="551" spans="1:14">
      <c r="A551">
        <v>1</v>
      </c>
      <c r="B551">
        <v>444955</v>
      </c>
      <c r="C551" t="s">
        <v>11</v>
      </c>
      <c r="D551" s="2">
        <v>2181</v>
      </c>
      <c r="E551" s="1">
        <v>44105</v>
      </c>
      <c r="F551">
        <v>1</v>
      </c>
      <c r="G551">
        <v>10</v>
      </c>
      <c r="H551">
        <v>2020</v>
      </c>
      <c r="I551">
        <v>2181</v>
      </c>
      <c r="J551">
        <v>1090.5</v>
      </c>
      <c r="N551" s="1"/>
    </row>
    <row r="552" spans="1:14">
      <c r="A552">
        <v>2</v>
      </c>
      <c r="B552">
        <v>533611</v>
      </c>
      <c r="C552" t="s">
        <v>11</v>
      </c>
      <c r="D552" s="2">
        <v>2734</v>
      </c>
      <c r="E552" s="1">
        <v>44105</v>
      </c>
      <c r="F552">
        <v>1</v>
      </c>
      <c r="G552">
        <v>10</v>
      </c>
      <c r="H552">
        <v>2020</v>
      </c>
      <c r="I552">
        <v>2734</v>
      </c>
      <c r="J552">
        <v>1367</v>
      </c>
      <c r="N552" s="1"/>
    </row>
    <row r="553" spans="1:14">
      <c r="A553">
        <v>3</v>
      </c>
      <c r="B553">
        <v>505218</v>
      </c>
      <c r="C553" t="s">
        <v>11</v>
      </c>
      <c r="D553" s="2">
        <v>1249</v>
      </c>
      <c r="E553" s="1">
        <v>44105</v>
      </c>
      <c r="F553">
        <v>1</v>
      </c>
      <c r="G553">
        <v>10</v>
      </c>
      <c r="H553">
        <v>2020</v>
      </c>
      <c r="I553">
        <v>1249</v>
      </c>
      <c r="J553">
        <v>624.5</v>
      </c>
      <c r="N553" s="1"/>
    </row>
    <row r="554" spans="1:14">
      <c r="A554">
        <v>2</v>
      </c>
      <c r="B554">
        <v>894001</v>
      </c>
      <c r="C554" t="s">
        <v>11</v>
      </c>
      <c r="D554" s="2">
        <v>546</v>
      </c>
      <c r="E554" s="1">
        <v>44105</v>
      </c>
      <c r="F554">
        <v>1</v>
      </c>
      <c r="G554">
        <v>10</v>
      </c>
      <c r="H554">
        <v>2020</v>
      </c>
      <c r="I554">
        <v>546</v>
      </c>
      <c r="J554">
        <v>273</v>
      </c>
      <c r="N554" s="1"/>
    </row>
    <row r="555" spans="1:14">
      <c r="A555">
        <v>3</v>
      </c>
      <c r="B555">
        <v>170867</v>
      </c>
      <c r="C555" t="s">
        <v>12</v>
      </c>
      <c r="D555" s="2">
        <v>1143</v>
      </c>
      <c r="E555" s="1">
        <v>44105</v>
      </c>
      <c r="F555">
        <v>1</v>
      </c>
      <c r="G555">
        <v>10</v>
      </c>
      <c r="H555">
        <v>2020</v>
      </c>
      <c r="I555">
        <v>5715</v>
      </c>
      <c r="J555">
        <v>2514.6000000000004</v>
      </c>
      <c r="N555" s="1"/>
    </row>
    <row r="556" spans="1:14">
      <c r="A556">
        <v>4</v>
      </c>
      <c r="B556">
        <v>131700</v>
      </c>
      <c r="C556" t="s">
        <v>12</v>
      </c>
      <c r="D556" s="2">
        <v>1269</v>
      </c>
      <c r="E556" s="1">
        <v>44105</v>
      </c>
      <c r="F556">
        <v>1</v>
      </c>
      <c r="G556">
        <v>10</v>
      </c>
      <c r="H556">
        <v>2020</v>
      </c>
      <c r="I556">
        <v>6345</v>
      </c>
      <c r="J556">
        <v>2791.8</v>
      </c>
      <c r="N556" s="1"/>
    </row>
    <row r="557" spans="1:14">
      <c r="A557">
        <v>4</v>
      </c>
      <c r="B557">
        <v>323754</v>
      </c>
      <c r="C557" t="s">
        <v>12</v>
      </c>
      <c r="D557" s="2">
        <v>472</v>
      </c>
      <c r="E557" s="1">
        <v>44105</v>
      </c>
      <c r="F557">
        <v>1</v>
      </c>
      <c r="G557">
        <v>10</v>
      </c>
      <c r="H557">
        <v>2020</v>
      </c>
      <c r="I557">
        <v>2360</v>
      </c>
      <c r="J557">
        <v>1038.4000000000001</v>
      </c>
      <c r="N557" s="1"/>
    </row>
    <row r="558" spans="1:14">
      <c r="A558">
        <v>4</v>
      </c>
      <c r="B558">
        <v>723364</v>
      </c>
      <c r="C558" t="s">
        <v>12</v>
      </c>
      <c r="D558" s="2">
        <v>2734</v>
      </c>
      <c r="E558" s="1">
        <v>44105</v>
      </c>
      <c r="F558">
        <v>1</v>
      </c>
      <c r="G558">
        <v>10</v>
      </c>
      <c r="H558">
        <v>2020</v>
      </c>
      <c r="I558">
        <v>13670</v>
      </c>
      <c r="J558">
        <v>6014.8</v>
      </c>
      <c r="N558" s="1"/>
    </row>
    <row r="559" spans="1:14">
      <c r="A559">
        <v>1</v>
      </c>
      <c r="B559">
        <v>148871</v>
      </c>
      <c r="C559" t="s">
        <v>12</v>
      </c>
      <c r="D559" s="2">
        <v>410</v>
      </c>
      <c r="E559" s="1">
        <v>44105</v>
      </c>
      <c r="F559">
        <v>1</v>
      </c>
      <c r="G559">
        <v>10</v>
      </c>
      <c r="H559">
        <v>2020</v>
      </c>
      <c r="I559">
        <v>2050</v>
      </c>
      <c r="J559">
        <v>902.00000000000011</v>
      </c>
      <c r="N559" s="1"/>
    </row>
    <row r="560" spans="1:14">
      <c r="A560">
        <v>3</v>
      </c>
      <c r="B560">
        <v>540063</v>
      </c>
      <c r="C560" t="s">
        <v>12</v>
      </c>
      <c r="D560" s="2">
        <v>1393</v>
      </c>
      <c r="E560" s="1">
        <v>44105</v>
      </c>
      <c r="F560">
        <v>1</v>
      </c>
      <c r="G560">
        <v>10</v>
      </c>
      <c r="H560">
        <v>2020</v>
      </c>
      <c r="I560">
        <v>6965</v>
      </c>
      <c r="J560">
        <v>3064.6000000000004</v>
      </c>
      <c r="N560" s="1"/>
    </row>
    <row r="561" spans="1:14">
      <c r="A561">
        <v>5</v>
      </c>
      <c r="B561">
        <v>841420</v>
      </c>
      <c r="C561" t="s">
        <v>12</v>
      </c>
      <c r="D561" s="2">
        <v>2914</v>
      </c>
      <c r="E561" s="1">
        <v>44105</v>
      </c>
      <c r="F561">
        <v>1</v>
      </c>
      <c r="G561">
        <v>10</v>
      </c>
      <c r="H561">
        <v>2020</v>
      </c>
      <c r="I561">
        <v>14570</v>
      </c>
      <c r="J561">
        <v>6410.8</v>
      </c>
      <c r="N561" s="1"/>
    </row>
    <row r="562" spans="1:14">
      <c r="A562">
        <v>5</v>
      </c>
      <c r="B562">
        <v>707748</v>
      </c>
      <c r="C562" t="s">
        <v>12</v>
      </c>
      <c r="D562" s="2">
        <v>1731</v>
      </c>
      <c r="E562" s="1">
        <v>44105</v>
      </c>
      <c r="F562">
        <v>1</v>
      </c>
      <c r="G562">
        <v>10</v>
      </c>
      <c r="H562">
        <v>2020</v>
      </c>
      <c r="I562">
        <v>8655</v>
      </c>
      <c r="J562">
        <v>3808.2000000000003</v>
      </c>
      <c r="N562" s="1"/>
    </row>
    <row r="563" spans="1:14">
      <c r="A563">
        <v>3</v>
      </c>
      <c r="B563">
        <v>578917</v>
      </c>
      <c r="C563" t="s">
        <v>12</v>
      </c>
      <c r="D563" s="2">
        <v>546</v>
      </c>
      <c r="E563" s="1">
        <v>44105</v>
      </c>
      <c r="F563">
        <v>1</v>
      </c>
      <c r="G563">
        <v>10</v>
      </c>
      <c r="H563">
        <v>2020</v>
      </c>
      <c r="I563">
        <v>2730</v>
      </c>
      <c r="J563">
        <v>1201.2</v>
      </c>
      <c r="N563" s="1"/>
    </row>
    <row r="564" spans="1:14">
      <c r="A564">
        <v>4</v>
      </c>
      <c r="B564">
        <v>128044</v>
      </c>
      <c r="C564" t="s">
        <v>13</v>
      </c>
      <c r="D564" s="2">
        <v>1397</v>
      </c>
      <c r="E564" s="1">
        <v>44105</v>
      </c>
      <c r="F564">
        <v>1</v>
      </c>
      <c r="G564">
        <v>10</v>
      </c>
      <c r="H564">
        <v>2020</v>
      </c>
      <c r="I564">
        <v>5588</v>
      </c>
      <c r="J564">
        <v>2095.5</v>
      </c>
      <c r="N564" s="1"/>
    </row>
    <row r="565" spans="1:14">
      <c r="A565">
        <v>4</v>
      </c>
      <c r="B565">
        <v>601636</v>
      </c>
      <c r="C565" t="s">
        <v>13</v>
      </c>
      <c r="D565" s="2">
        <v>1295</v>
      </c>
      <c r="E565" s="1">
        <v>44105</v>
      </c>
      <c r="F565">
        <v>1</v>
      </c>
      <c r="G565">
        <v>10</v>
      </c>
      <c r="H565">
        <v>2020</v>
      </c>
      <c r="I565">
        <v>5180</v>
      </c>
      <c r="J565">
        <v>1942.5</v>
      </c>
      <c r="N565" s="1"/>
    </row>
    <row r="566" spans="1:14">
      <c r="A566">
        <v>4</v>
      </c>
      <c r="B566">
        <v>725869</v>
      </c>
      <c r="C566" t="s">
        <v>13</v>
      </c>
      <c r="D566" s="2">
        <v>2021</v>
      </c>
      <c r="E566" s="1">
        <v>44105</v>
      </c>
      <c r="F566">
        <v>1</v>
      </c>
      <c r="G566">
        <v>10</v>
      </c>
      <c r="H566">
        <v>2020</v>
      </c>
      <c r="I566">
        <v>8084</v>
      </c>
      <c r="J566">
        <v>3031.5</v>
      </c>
      <c r="N566" s="1"/>
    </row>
    <row r="567" spans="1:14">
      <c r="A567">
        <v>2</v>
      </c>
      <c r="B567">
        <v>310429</v>
      </c>
      <c r="C567" t="s">
        <v>13</v>
      </c>
      <c r="D567" s="2">
        <v>2181</v>
      </c>
      <c r="E567" s="1">
        <v>44105</v>
      </c>
      <c r="F567">
        <v>1</v>
      </c>
      <c r="G567">
        <v>10</v>
      </c>
      <c r="H567">
        <v>2020</v>
      </c>
      <c r="I567">
        <v>8724</v>
      </c>
      <c r="J567">
        <v>3271.5</v>
      </c>
      <c r="N567" s="1"/>
    </row>
    <row r="568" spans="1:14">
      <c r="A568">
        <v>5</v>
      </c>
      <c r="B568">
        <v>363487</v>
      </c>
      <c r="C568" t="s">
        <v>13</v>
      </c>
      <c r="D568" s="2">
        <v>2441</v>
      </c>
      <c r="E568" s="1">
        <v>44105</v>
      </c>
      <c r="F568">
        <v>1</v>
      </c>
      <c r="G568">
        <v>10</v>
      </c>
      <c r="H568">
        <v>2020</v>
      </c>
      <c r="I568">
        <v>9764</v>
      </c>
      <c r="J568">
        <v>3661.5</v>
      </c>
      <c r="N568" s="1"/>
    </row>
    <row r="569" spans="1:14">
      <c r="A569">
        <v>4</v>
      </c>
      <c r="B569">
        <v>694579</v>
      </c>
      <c r="C569" t="s">
        <v>13</v>
      </c>
      <c r="D569" s="2">
        <v>2156</v>
      </c>
      <c r="E569" s="1">
        <v>44105</v>
      </c>
      <c r="F569">
        <v>1</v>
      </c>
      <c r="G569">
        <v>10</v>
      </c>
      <c r="H569">
        <v>2020</v>
      </c>
      <c r="I569">
        <v>8624</v>
      </c>
      <c r="J569">
        <v>3234</v>
      </c>
      <c r="N569" s="1"/>
    </row>
    <row r="570" spans="1:14">
      <c r="A570">
        <v>2</v>
      </c>
      <c r="B570">
        <v>289035</v>
      </c>
      <c r="C570" t="s">
        <v>13</v>
      </c>
      <c r="D570" s="2">
        <v>1496</v>
      </c>
      <c r="E570" s="1">
        <v>44105</v>
      </c>
      <c r="F570">
        <v>1</v>
      </c>
      <c r="G570">
        <v>10</v>
      </c>
      <c r="H570">
        <v>2020</v>
      </c>
      <c r="I570">
        <v>5984</v>
      </c>
      <c r="J570">
        <v>2244</v>
      </c>
      <c r="N570" s="1"/>
    </row>
    <row r="571" spans="1:14">
      <c r="A571">
        <v>5</v>
      </c>
      <c r="B571">
        <v>411519</v>
      </c>
      <c r="C571" t="s">
        <v>13</v>
      </c>
      <c r="D571" s="2">
        <v>1010</v>
      </c>
      <c r="E571" s="1">
        <v>44105</v>
      </c>
      <c r="F571">
        <v>1</v>
      </c>
      <c r="G571">
        <v>10</v>
      </c>
      <c r="H571">
        <v>2020</v>
      </c>
      <c r="I571">
        <v>4040</v>
      </c>
      <c r="J571">
        <v>1515</v>
      </c>
      <c r="N571" s="1"/>
    </row>
    <row r="572" spans="1:14">
      <c r="A572">
        <v>4</v>
      </c>
      <c r="B572">
        <v>329257</v>
      </c>
      <c r="C572" t="s">
        <v>13</v>
      </c>
      <c r="D572" s="2">
        <v>1085</v>
      </c>
      <c r="E572" s="1">
        <v>44105</v>
      </c>
      <c r="F572">
        <v>1</v>
      </c>
      <c r="G572">
        <v>10</v>
      </c>
      <c r="H572">
        <v>2020</v>
      </c>
      <c r="I572">
        <v>4340</v>
      </c>
      <c r="J572">
        <v>1627.5</v>
      </c>
      <c r="N572" s="1"/>
    </row>
    <row r="573" spans="1:14">
      <c r="A573">
        <v>2</v>
      </c>
      <c r="B573">
        <v>791359</v>
      </c>
      <c r="C573" t="s">
        <v>14</v>
      </c>
      <c r="D573" s="2">
        <v>1397</v>
      </c>
      <c r="E573" s="1">
        <v>44105</v>
      </c>
      <c r="F573">
        <v>1</v>
      </c>
      <c r="G573">
        <v>10</v>
      </c>
      <c r="H573">
        <v>2020</v>
      </c>
      <c r="I573">
        <v>4191</v>
      </c>
      <c r="J573">
        <v>1746.25</v>
      </c>
      <c r="N573" s="1"/>
    </row>
    <row r="574" spans="1:14">
      <c r="A574">
        <v>4</v>
      </c>
      <c r="B574">
        <v>439635</v>
      </c>
      <c r="C574" t="s">
        <v>14</v>
      </c>
      <c r="D574" s="2">
        <v>2877</v>
      </c>
      <c r="E574" s="1">
        <v>44105</v>
      </c>
      <c r="F574">
        <v>1</v>
      </c>
      <c r="G574">
        <v>10</v>
      </c>
      <c r="H574">
        <v>2020</v>
      </c>
      <c r="I574">
        <v>8631</v>
      </c>
      <c r="J574">
        <v>3596.25</v>
      </c>
      <c r="N574" s="1"/>
    </row>
    <row r="575" spans="1:14">
      <c r="A575">
        <v>1</v>
      </c>
      <c r="B575">
        <v>144559</v>
      </c>
      <c r="C575" t="s">
        <v>14</v>
      </c>
      <c r="D575" s="2">
        <v>2177</v>
      </c>
      <c r="E575" s="1">
        <v>44105</v>
      </c>
      <c r="F575">
        <v>1</v>
      </c>
      <c r="G575">
        <v>10</v>
      </c>
      <c r="H575">
        <v>2020</v>
      </c>
      <c r="I575">
        <v>6531</v>
      </c>
      <c r="J575">
        <v>2721.25</v>
      </c>
      <c r="N575" s="1"/>
    </row>
    <row r="576" spans="1:14">
      <c r="A576">
        <v>5</v>
      </c>
      <c r="B576">
        <v>639651</v>
      </c>
      <c r="C576" t="s">
        <v>14</v>
      </c>
      <c r="D576" s="2">
        <v>2689</v>
      </c>
      <c r="E576" s="1">
        <v>44105</v>
      </c>
      <c r="F576">
        <v>1</v>
      </c>
      <c r="G576">
        <v>10</v>
      </c>
      <c r="H576">
        <v>2020</v>
      </c>
      <c r="I576">
        <v>8067</v>
      </c>
      <c r="J576">
        <v>3361.25</v>
      </c>
      <c r="N576" s="1"/>
    </row>
    <row r="577" spans="1:14">
      <c r="A577">
        <v>4</v>
      </c>
      <c r="B577">
        <v>666684</v>
      </c>
      <c r="C577" t="s">
        <v>14</v>
      </c>
      <c r="D577" s="2">
        <v>1153</v>
      </c>
      <c r="E577" s="1">
        <v>44105</v>
      </c>
      <c r="F577">
        <v>1</v>
      </c>
      <c r="G577">
        <v>10</v>
      </c>
      <c r="H577">
        <v>2020</v>
      </c>
      <c r="I577">
        <v>3459</v>
      </c>
      <c r="J577">
        <v>1441.25</v>
      </c>
      <c r="N577" s="1"/>
    </row>
    <row r="578" spans="1:14">
      <c r="A578">
        <v>2</v>
      </c>
      <c r="B578">
        <v>699845</v>
      </c>
      <c r="C578" t="s">
        <v>14</v>
      </c>
      <c r="D578" s="2">
        <v>1227</v>
      </c>
      <c r="E578" s="1">
        <v>44105</v>
      </c>
      <c r="F578">
        <v>1</v>
      </c>
      <c r="G578">
        <v>10</v>
      </c>
      <c r="H578">
        <v>2020</v>
      </c>
      <c r="I578">
        <v>3681</v>
      </c>
      <c r="J578">
        <v>1533.75</v>
      </c>
      <c r="N578" s="1"/>
    </row>
    <row r="579" spans="1:14">
      <c r="A579">
        <v>4</v>
      </c>
      <c r="B579">
        <v>881898</v>
      </c>
      <c r="C579" t="s">
        <v>14</v>
      </c>
      <c r="D579" s="2">
        <v>360</v>
      </c>
      <c r="E579" s="1">
        <v>44105</v>
      </c>
      <c r="F579">
        <v>1</v>
      </c>
      <c r="G579">
        <v>10</v>
      </c>
      <c r="H579">
        <v>2020</v>
      </c>
      <c r="I579">
        <v>1080</v>
      </c>
      <c r="J579">
        <v>450</v>
      </c>
      <c r="N579" s="1"/>
    </row>
    <row r="580" spans="1:14">
      <c r="A580">
        <v>1</v>
      </c>
      <c r="B580">
        <v>305275</v>
      </c>
      <c r="C580" t="s">
        <v>14</v>
      </c>
      <c r="D580" s="2">
        <v>986</v>
      </c>
      <c r="E580" s="1">
        <v>44105</v>
      </c>
      <c r="F580">
        <v>1</v>
      </c>
      <c r="G580">
        <v>10</v>
      </c>
      <c r="H580">
        <v>2020</v>
      </c>
      <c r="I580">
        <v>2958</v>
      </c>
      <c r="J580">
        <v>1232.5</v>
      </c>
      <c r="N580" s="1"/>
    </row>
    <row r="581" spans="1:14">
      <c r="A581">
        <v>1</v>
      </c>
      <c r="B581">
        <v>762271</v>
      </c>
      <c r="C581" t="s">
        <v>14</v>
      </c>
      <c r="D581" s="2">
        <v>1565</v>
      </c>
      <c r="E581" s="1">
        <v>44105</v>
      </c>
      <c r="F581">
        <v>1</v>
      </c>
      <c r="G581">
        <v>10</v>
      </c>
      <c r="H581">
        <v>2020</v>
      </c>
      <c r="I581">
        <v>4695</v>
      </c>
      <c r="J581">
        <v>1956.25</v>
      </c>
      <c r="N581" s="1"/>
    </row>
    <row r="582" spans="1:14">
      <c r="A582">
        <v>2</v>
      </c>
      <c r="B582">
        <v>356877</v>
      </c>
      <c r="C582" t="s">
        <v>14</v>
      </c>
      <c r="D582" s="2">
        <v>1496</v>
      </c>
      <c r="E582" s="1">
        <v>44105</v>
      </c>
      <c r="F582">
        <v>1</v>
      </c>
      <c r="G582">
        <v>10</v>
      </c>
      <c r="H582">
        <v>2020</v>
      </c>
      <c r="I582">
        <v>4488</v>
      </c>
      <c r="J582">
        <v>1870</v>
      </c>
      <c r="N582" s="1"/>
    </row>
    <row r="583" spans="1:14">
      <c r="A583">
        <v>5</v>
      </c>
      <c r="B583">
        <v>208723</v>
      </c>
      <c r="C583" t="s">
        <v>14</v>
      </c>
      <c r="D583" s="2">
        <v>1010</v>
      </c>
      <c r="E583" s="1">
        <v>44105</v>
      </c>
      <c r="F583">
        <v>1</v>
      </c>
      <c r="G583">
        <v>10</v>
      </c>
      <c r="H583">
        <v>2020</v>
      </c>
      <c r="I583">
        <v>3030</v>
      </c>
      <c r="J583">
        <v>1262.5</v>
      </c>
      <c r="N583" s="1"/>
    </row>
    <row r="584" spans="1:14">
      <c r="A584">
        <v>2</v>
      </c>
      <c r="B584">
        <v>330030</v>
      </c>
      <c r="C584" t="s">
        <v>14</v>
      </c>
      <c r="D584" s="2">
        <v>1175</v>
      </c>
      <c r="E584" s="1">
        <v>44105</v>
      </c>
      <c r="F584">
        <v>1</v>
      </c>
      <c r="G584">
        <v>10</v>
      </c>
      <c r="H584">
        <v>2020</v>
      </c>
      <c r="I584">
        <v>3525</v>
      </c>
      <c r="J584">
        <v>1468.75</v>
      </c>
      <c r="N584" s="1"/>
    </row>
    <row r="585" spans="1:14">
      <c r="A585">
        <v>2</v>
      </c>
      <c r="B585">
        <v>149035</v>
      </c>
      <c r="C585" t="s">
        <v>15</v>
      </c>
      <c r="D585" s="2">
        <v>1566</v>
      </c>
      <c r="E585" s="1">
        <v>44105</v>
      </c>
      <c r="F585">
        <v>1</v>
      </c>
      <c r="G585">
        <v>10</v>
      </c>
      <c r="H585">
        <v>2020</v>
      </c>
      <c r="I585">
        <v>9396</v>
      </c>
      <c r="J585">
        <v>4306.5</v>
      </c>
      <c r="N585" s="1"/>
    </row>
    <row r="586" spans="1:14">
      <c r="A586">
        <v>2</v>
      </c>
      <c r="B586">
        <v>426268</v>
      </c>
      <c r="C586" t="s">
        <v>15</v>
      </c>
      <c r="D586" s="2">
        <v>2877</v>
      </c>
      <c r="E586" s="1">
        <v>44105</v>
      </c>
      <c r="F586">
        <v>1</v>
      </c>
      <c r="G586">
        <v>10</v>
      </c>
      <c r="H586">
        <v>2020</v>
      </c>
      <c r="I586">
        <v>17262</v>
      </c>
      <c r="J586">
        <v>7911.75</v>
      </c>
      <c r="N586" s="1"/>
    </row>
    <row r="587" spans="1:14">
      <c r="A587">
        <v>4</v>
      </c>
      <c r="B587">
        <v>899743</v>
      </c>
      <c r="C587" t="s">
        <v>15</v>
      </c>
      <c r="D587" s="2">
        <v>2009</v>
      </c>
      <c r="E587" s="1">
        <v>44105</v>
      </c>
      <c r="F587">
        <v>1</v>
      </c>
      <c r="G587">
        <v>10</v>
      </c>
      <c r="H587">
        <v>2020</v>
      </c>
      <c r="I587">
        <v>12054</v>
      </c>
      <c r="J587">
        <v>5524.75</v>
      </c>
      <c r="N587" s="1"/>
    </row>
    <row r="588" spans="1:14">
      <c r="A588">
        <v>3</v>
      </c>
      <c r="B588">
        <v>375461</v>
      </c>
      <c r="C588" t="s">
        <v>15</v>
      </c>
      <c r="D588" s="2">
        <v>2177</v>
      </c>
      <c r="E588" s="1">
        <v>44105</v>
      </c>
      <c r="F588">
        <v>1</v>
      </c>
      <c r="G588">
        <v>10</v>
      </c>
      <c r="H588">
        <v>2020</v>
      </c>
      <c r="I588">
        <v>13062</v>
      </c>
      <c r="J588">
        <v>5986.75</v>
      </c>
      <c r="N588" s="1"/>
    </row>
    <row r="589" spans="1:14">
      <c r="A589">
        <v>4</v>
      </c>
      <c r="B589">
        <v>304806</v>
      </c>
      <c r="C589" t="s">
        <v>15</v>
      </c>
      <c r="D589" s="2">
        <v>861</v>
      </c>
      <c r="E589" s="1">
        <v>44105</v>
      </c>
      <c r="F589">
        <v>1</v>
      </c>
      <c r="G589">
        <v>10</v>
      </c>
      <c r="H589">
        <v>2020</v>
      </c>
      <c r="I589">
        <v>5166</v>
      </c>
      <c r="J589">
        <v>2367.75</v>
      </c>
      <c r="N589" s="1"/>
    </row>
    <row r="590" spans="1:14">
      <c r="A590">
        <v>4</v>
      </c>
      <c r="B590">
        <v>235009</v>
      </c>
      <c r="C590" t="s">
        <v>15</v>
      </c>
      <c r="D590" s="2">
        <v>1976</v>
      </c>
      <c r="E590" s="1">
        <v>44105</v>
      </c>
      <c r="F590">
        <v>1</v>
      </c>
      <c r="G590">
        <v>10</v>
      </c>
      <c r="H590">
        <v>2020</v>
      </c>
      <c r="I590">
        <v>11856</v>
      </c>
      <c r="J590">
        <v>5434</v>
      </c>
      <c r="N590" s="1"/>
    </row>
    <row r="591" spans="1:14">
      <c r="A591">
        <v>3</v>
      </c>
      <c r="B591">
        <v>447945</v>
      </c>
      <c r="C591" t="s">
        <v>15</v>
      </c>
      <c r="D591" s="2">
        <v>1269</v>
      </c>
      <c r="E591" s="1">
        <v>44105</v>
      </c>
      <c r="F591">
        <v>1</v>
      </c>
      <c r="G591">
        <v>10</v>
      </c>
      <c r="H591">
        <v>2020</v>
      </c>
      <c r="I591">
        <v>7614</v>
      </c>
      <c r="J591">
        <v>3489.75</v>
      </c>
      <c r="N591" s="1"/>
    </row>
    <row r="592" spans="1:14">
      <c r="A592">
        <v>2</v>
      </c>
      <c r="B592">
        <v>775311</v>
      </c>
      <c r="C592" t="s">
        <v>15</v>
      </c>
      <c r="D592" s="2">
        <v>241</v>
      </c>
      <c r="E592" s="1">
        <v>44105</v>
      </c>
      <c r="F592">
        <v>1</v>
      </c>
      <c r="G592">
        <v>10</v>
      </c>
      <c r="H592">
        <v>2020</v>
      </c>
      <c r="I592">
        <v>1446</v>
      </c>
      <c r="J592">
        <v>662.75</v>
      </c>
      <c r="N592" s="1"/>
    </row>
    <row r="593" spans="1:14">
      <c r="A593">
        <v>2</v>
      </c>
      <c r="B593">
        <v>885051</v>
      </c>
      <c r="C593" t="s">
        <v>15</v>
      </c>
      <c r="D593" s="2">
        <v>472</v>
      </c>
      <c r="E593" s="1">
        <v>44105</v>
      </c>
      <c r="F593">
        <v>1</v>
      </c>
      <c r="G593">
        <v>10</v>
      </c>
      <c r="H593">
        <v>2020</v>
      </c>
      <c r="I593">
        <v>2832</v>
      </c>
      <c r="J593">
        <v>1298</v>
      </c>
      <c r="N593" s="1"/>
    </row>
    <row r="594" spans="1:14">
      <c r="A594">
        <v>2</v>
      </c>
      <c r="B594">
        <v>382008</v>
      </c>
      <c r="C594" t="s">
        <v>15</v>
      </c>
      <c r="D594" s="2">
        <v>986</v>
      </c>
      <c r="E594" s="1">
        <v>44105</v>
      </c>
      <c r="F594">
        <v>1</v>
      </c>
      <c r="G594">
        <v>10</v>
      </c>
      <c r="H594">
        <v>2020</v>
      </c>
      <c r="I594">
        <v>5916</v>
      </c>
      <c r="J594">
        <v>2711.5</v>
      </c>
      <c r="N594" s="1"/>
    </row>
    <row r="595" spans="1:14">
      <c r="A595">
        <v>3</v>
      </c>
      <c r="B595">
        <v>234667</v>
      </c>
      <c r="C595" t="s">
        <v>15</v>
      </c>
      <c r="D595" s="2">
        <v>905</v>
      </c>
      <c r="E595" s="1">
        <v>44105</v>
      </c>
      <c r="F595">
        <v>1</v>
      </c>
      <c r="G595">
        <v>10</v>
      </c>
      <c r="H595">
        <v>2020</v>
      </c>
      <c r="I595">
        <v>5430</v>
      </c>
      <c r="J595">
        <v>2488.75</v>
      </c>
      <c r="N595" s="1"/>
    </row>
    <row r="596" spans="1:14">
      <c r="A596">
        <v>1</v>
      </c>
      <c r="B596">
        <v>617339</v>
      </c>
      <c r="C596" t="s">
        <v>15</v>
      </c>
      <c r="D596" s="2">
        <v>410</v>
      </c>
      <c r="E596" s="1">
        <v>44105</v>
      </c>
      <c r="F596">
        <v>1</v>
      </c>
      <c r="G596">
        <v>10</v>
      </c>
      <c r="H596">
        <v>2020</v>
      </c>
      <c r="I596">
        <v>2460</v>
      </c>
      <c r="J596">
        <v>1127.5</v>
      </c>
      <c r="N596" s="1"/>
    </row>
    <row r="597" spans="1:14">
      <c r="A597">
        <v>4</v>
      </c>
      <c r="B597">
        <v>160202</v>
      </c>
      <c r="C597" t="s">
        <v>10</v>
      </c>
      <c r="D597" s="2">
        <v>2905</v>
      </c>
      <c r="E597" s="1">
        <v>44136</v>
      </c>
      <c r="F597">
        <v>1</v>
      </c>
      <c r="G597">
        <v>11</v>
      </c>
      <c r="H597">
        <v>2020</v>
      </c>
      <c r="I597">
        <v>14525</v>
      </c>
      <c r="J597">
        <v>5810</v>
      </c>
      <c r="N597" s="1"/>
    </row>
    <row r="598" spans="1:14">
      <c r="A598">
        <v>2</v>
      </c>
      <c r="B598">
        <v>205484</v>
      </c>
      <c r="C598" t="s">
        <v>10</v>
      </c>
      <c r="D598" s="2">
        <v>1324</v>
      </c>
      <c r="E598" s="1">
        <v>44136</v>
      </c>
      <c r="F598">
        <v>1</v>
      </c>
      <c r="G598">
        <v>11</v>
      </c>
      <c r="H598">
        <v>2020</v>
      </c>
      <c r="I598">
        <v>6620</v>
      </c>
      <c r="J598">
        <v>2648</v>
      </c>
      <c r="N598" s="1"/>
    </row>
    <row r="599" spans="1:14">
      <c r="A599">
        <v>3</v>
      </c>
      <c r="B599">
        <v>781275</v>
      </c>
      <c r="C599" t="s">
        <v>10</v>
      </c>
      <c r="D599" s="2">
        <v>1366</v>
      </c>
      <c r="E599" s="1">
        <v>44136</v>
      </c>
      <c r="F599">
        <v>1</v>
      </c>
      <c r="G599">
        <v>11</v>
      </c>
      <c r="H599">
        <v>2020</v>
      </c>
      <c r="I599">
        <v>6830</v>
      </c>
      <c r="J599">
        <v>2732</v>
      </c>
      <c r="N599" s="1"/>
    </row>
    <row r="600" spans="1:14">
      <c r="A600">
        <v>5</v>
      </c>
      <c r="B600">
        <v>559510</v>
      </c>
      <c r="C600" t="s">
        <v>10</v>
      </c>
      <c r="D600" s="2">
        <v>1594</v>
      </c>
      <c r="E600" s="1">
        <v>44136</v>
      </c>
      <c r="F600">
        <v>1</v>
      </c>
      <c r="G600">
        <v>11</v>
      </c>
      <c r="H600">
        <v>2020</v>
      </c>
      <c r="I600">
        <v>7970</v>
      </c>
      <c r="J600">
        <v>3188</v>
      </c>
      <c r="N600" s="1"/>
    </row>
    <row r="601" spans="1:14">
      <c r="A601">
        <v>2</v>
      </c>
      <c r="B601">
        <v>259455</v>
      </c>
      <c r="C601" t="s">
        <v>10</v>
      </c>
      <c r="D601" s="2">
        <v>1359</v>
      </c>
      <c r="E601" s="1">
        <v>44136</v>
      </c>
      <c r="F601">
        <v>1</v>
      </c>
      <c r="G601">
        <v>11</v>
      </c>
      <c r="H601">
        <v>2020</v>
      </c>
      <c r="I601">
        <v>6795</v>
      </c>
      <c r="J601">
        <v>2718</v>
      </c>
      <c r="N601" s="1"/>
    </row>
    <row r="602" spans="1:14">
      <c r="A602">
        <v>2</v>
      </c>
      <c r="B602">
        <v>389356</v>
      </c>
      <c r="C602" t="s">
        <v>10</v>
      </c>
      <c r="D602" s="2">
        <v>2150</v>
      </c>
      <c r="E602" s="1">
        <v>44136</v>
      </c>
      <c r="F602">
        <v>1</v>
      </c>
      <c r="G602">
        <v>11</v>
      </c>
      <c r="H602">
        <v>2020</v>
      </c>
      <c r="I602">
        <v>10750</v>
      </c>
      <c r="J602">
        <v>4300</v>
      </c>
      <c r="N602" s="1"/>
    </row>
    <row r="603" spans="1:14">
      <c r="A603">
        <v>3</v>
      </c>
      <c r="B603">
        <v>582048</v>
      </c>
      <c r="C603" t="s">
        <v>10</v>
      </c>
      <c r="D603" s="2">
        <v>1197</v>
      </c>
      <c r="E603" s="1">
        <v>44136</v>
      </c>
      <c r="F603">
        <v>1</v>
      </c>
      <c r="G603">
        <v>11</v>
      </c>
      <c r="H603">
        <v>2020</v>
      </c>
      <c r="I603">
        <v>5985</v>
      </c>
      <c r="J603">
        <v>2394</v>
      </c>
      <c r="N603" s="1"/>
    </row>
    <row r="604" spans="1:14">
      <c r="A604">
        <v>3</v>
      </c>
      <c r="B604">
        <v>448428</v>
      </c>
      <c r="C604" t="s">
        <v>10</v>
      </c>
      <c r="D604" s="2">
        <v>357</v>
      </c>
      <c r="E604" s="1">
        <v>44136</v>
      </c>
      <c r="F604">
        <v>1</v>
      </c>
      <c r="G604">
        <v>11</v>
      </c>
      <c r="H604">
        <v>2020</v>
      </c>
      <c r="I604">
        <v>1785</v>
      </c>
      <c r="J604">
        <v>714</v>
      </c>
      <c r="N604" s="1"/>
    </row>
    <row r="605" spans="1:14">
      <c r="A605">
        <v>5</v>
      </c>
      <c r="B605">
        <v>778322</v>
      </c>
      <c r="C605" t="s">
        <v>10</v>
      </c>
      <c r="D605" s="2">
        <v>700</v>
      </c>
      <c r="E605" s="1">
        <v>44136</v>
      </c>
      <c r="F605">
        <v>1</v>
      </c>
      <c r="G605">
        <v>11</v>
      </c>
      <c r="H605">
        <v>2020</v>
      </c>
      <c r="I605">
        <v>3500</v>
      </c>
      <c r="J605">
        <v>1400</v>
      </c>
      <c r="N605" s="1"/>
    </row>
    <row r="606" spans="1:14">
      <c r="A606">
        <v>3</v>
      </c>
      <c r="B606">
        <v>763666</v>
      </c>
      <c r="C606" t="s">
        <v>10</v>
      </c>
      <c r="D606" s="2">
        <v>1177</v>
      </c>
      <c r="E606" s="1">
        <v>44136</v>
      </c>
      <c r="F606">
        <v>1</v>
      </c>
      <c r="G606">
        <v>11</v>
      </c>
      <c r="H606">
        <v>2020</v>
      </c>
      <c r="I606">
        <v>5885</v>
      </c>
      <c r="J606">
        <v>2354</v>
      </c>
      <c r="N606" s="1"/>
    </row>
    <row r="607" spans="1:14">
      <c r="A607">
        <v>3</v>
      </c>
      <c r="B607">
        <v>676869</v>
      </c>
      <c r="C607" t="s">
        <v>11</v>
      </c>
      <c r="D607" s="2">
        <v>690</v>
      </c>
      <c r="E607" s="1">
        <v>44136</v>
      </c>
      <c r="F607">
        <v>1</v>
      </c>
      <c r="G607">
        <v>11</v>
      </c>
      <c r="H607">
        <v>2020</v>
      </c>
      <c r="I607">
        <v>690</v>
      </c>
      <c r="J607">
        <v>345</v>
      </c>
      <c r="N607" s="1"/>
    </row>
    <row r="608" spans="1:14">
      <c r="A608">
        <v>4</v>
      </c>
      <c r="B608">
        <v>454312</v>
      </c>
      <c r="C608" t="s">
        <v>11</v>
      </c>
      <c r="D608" s="2">
        <v>2342</v>
      </c>
      <c r="E608" s="1">
        <v>44136</v>
      </c>
      <c r="F608">
        <v>1</v>
      </c>
      <c r="G608">
        <v>11</v>
      </c>
      <c r="H608">
        <v>2020</v>
      </c>
      <c r="I608">
        <v>2342</v>
      </c>
      <c r="J608">
        <v>1171</v>
      </c>
      <c r="N608" s="1"/>
    </row>
    <row r="609" spans="1:14">
      <c r="A609">
        <v>5</v>
      </c>
      <c r="B609">
        <v>128675</v>
      </c>
      <c r="C609" t="s">
        <v>11</v>
      </c>
      <c r="D609" s="2">
        <v>2723</v>
      </c>
      <c r="E609" s="1">
        <v>44136</v>
      </c>
      <c r="F609">
        <v>1</v>
      </c>
      <c r="G609">
        <v>11</v>
      </c>
      <c r="H609">
        <v>2020</v>
      </c>
      <c r="I609">
        <v>2723</v>
      </c>
      <c r="J609">
        <v>1361.5</v>
      </c>
      <c r="N609" s="1"/>
    </row>
    <row r="610" spans="1:14">
      <c r="A610">
        <v>1</v>
      </c>
      <c r="B610">
        <v>818777</v>
      </c>
      <c r="C610" t="s">
        <v>11</v>
      </c>
      <c r="D610" s="2">
        <v>2342</v>
      </c>
      <c r="E610" s="1">
        <v>44136</v>
      </c>
      <c r="F610">
        <v>1</v>
      </c>
      <c r="G610">
        <v>11</v>
      </c>
      <c r="H610">
        <v>2020</v>
      </c>
      <c r="I610">
        <v>2342</v>
      </c>
      <c r="J610">
        <v>1171</v>
      </c>
      <c r="N610" s="1"/>
    </row>
    <row r="611" spans="1:14">
      <c r="A611">
        <v>4</v>
      </c>
      <c r="B611">
        <v>272243</v>
      </c>
      <c r="C611" t="s">
        <v>11</v>
      </c>
      <c r="D611" s="2">
        <v>2321</v>
      </c>
      <c r="E611" s="1">
        <v>44136</v>
      </c>
      <c r="F611">
        <v>1</v>
      </c>
      <c r="G611">
        <v>11</v>
      </c>
      <c r="H611">
        <v>2020</v>
      </c>
      <c r="I611">
        <v>2321</v>
      </c>
      <c r="J611">
        <v>1160.5</v>
      </c>
      <c r="N611" s="1"/>
    </row>
    <row r="612" spans="1:14">
      <c r="A612">
        <v>2</v>
      </c>
      <c r="B612">
        <v>734809</v>
      </c>
      <c r="C612" t="s">
        <v>12</v>
      </c>
      <c r="D612" s="2">
        <v>1236</v>
      </c>
      <c r="E612" s="1">
        <v>44136</v>
      </c>
      <c r="F612">
        <v>1</v>
      </c>
      <c r="G612">
        <v>11</v>
      </c>
      <c r="H612">
        <v>2020</v>
      </c>
      <c r="I612">
        <v>6180</v>
      </c>
      <c r="J612">
        <v>2719.2000000000003</v>
      </c>
      <c r="N612" s="1"/>
    </row>
    <row r="613" spans="1:14">
      <c r="A613">
        <v>2</v>
      </c>
      <c r="B613">
        <v>544809</v>
      </c>
      <c r="C613" t="s">
        <v>12</v>
      </c>
      <c r="D613" s="2">
        <v>941</v>
      </c>
      <c r="E613" s="1">
        <v>44136</v>
      </c>
      <c r="F613">
        <v>1</v>
      </c>
      <c r="G613">
        <v>11</v>
      </c>
      <c r="H613">
        <v>2020</v>
      </c>
      <c r="I613">
        <v>4705</v>
      </c>
      <c r="J613">
        <v>2070.2000000000003</v>
      </c>
      <c r="N613" s="1"/>
    </row>
    <row r="614" spans="1:14">
      <c r="A614">
        <v>2</v>
      </c>
      <c r="B614">
        <v>653226</v>
      </c>
      <c r="C614" t="s">
        <v>12</v>
      </c>
      <c r="D614" s="2">
        <v>1118</v>
      </c>
      <c r="E614" s="1">
        <v>44136</v>
      </c>
      <c r="F614">
        <v>1</v>
      </c>
      <c r="G614">
        <v>11</v>
      </c>
      <c r="H614">
        <v>2020</v>
      </c>
      <c r="I614">
        <v>5590</v>
      </c>
      <c r="J614">
        <v>2459.6000000000004</v>
      </c>
      <c r="N614" s="1"/>
    </row>
    <row r="615" spans="1:14">
      <c r="A615">
        <v>5</v>
      </c>
      <c r="B615">
        <v>872307</v>
      </c>
      <c r="C615" t="s">
        <v>12</v>
      </c>
      <c r="D615" s="2">
        <v>1520</v>
      </c>
      <c r="E615" s="1">
        <v>44136</v>
      </c>
      <c r="F615">
        <v>1</v>
      </c>
      <c r="G615">
        <v>11</v>
      </c>
      <c r="H615">
        <v>2020</v>
      </c>
      <c r="I615">
        <v>7600</v>
      </c>
      <c r="J615">
        <v>3344.0000000000005</v>
      </c>
      <c r="N615" s="1"/>
    </row>
    <row r="616" spans="1:14">
      <c r="A616">
        <v>3</v>
      </c>
      <c r="B616">
        <v>686661</v>
      </c>
      <c r="C616" t="s">
        <v>12</v>
      </c>
      <c r="D616" s="2">
        <v>1694</v>
      </c>
      <c r="E616" s="1">
        <v>44136</v>
      </c>
      <c r="F616">
        <v>1</v>
      </c>
      <c r="G616">
        <v>11</v>
      </c>
      <c r="H616">
        <v>2020</v>
      </c>
      <c r="I616">
        <v>8470</v>
      </c>
      <c r="J616">
        <v>3726.8</v>
      </c>
      <c r="N616" s="1"/>
    </row>
    <row r="617" spans="1:14">
      <c r="A617">
        <v>2</v>
      </c>
      <c r="B617">
        <v>812448</v>
      </c>
      <c r="C617" t="s">
        <v>13</v>
      </c>
      <c r="D617" s="2">
        <v>2791</v>
      </c>
      <c r="E617" s="1">
        <v>44136</v>
      </c>
      <c r="F617">
        <v>1</v>
      </c>
      <c r="G617">
        <v>11</v>
      </c>
      <c r="H617">
        <v>2020</v>
      </c>
      <c r="I617">
        <v>11164</v>
      </c>
      <c r="J617">
        <v>4186.5</v>
      </c>
      <c r="N617" s="1"/>
    </row>
    <row r="618" spans="1:14">
      <c r="A618">
        <v>4</v>
      </c>
      <c r="B618">
        <v>768268</v>
      </c>
      <c r="C618" t="s">
        <v>13</v>
      </c>
      <c r="D618" s="2">
        <v>2030</v>
      </c>
      <c r="E618" s="1">
        <v>44136</v>
      </c>
      <c r="F618">
        <v>1</v>
      </c>
      <c r="G618">
        <v>11</v>
      </c>
      <c r="H618">
        <v>2020</v>
      </c>
      <c r="I618">
        <v>8120</v>
      </c>
      <c r="J618">
        <v>3045</v>
      </c>
      <c r="N618" s="1"/>
    </row>
    <row r="619" spans="1:14">
      <c r="A619">
        <v>2</v>
      </c>
      <c r="B619">
        <v>297812</v>
      </c>
      <c r="C619" t="s">
        <v>13</v>
      </c>
      <c r="D619" s="2">
        <v>490</v>
      </c>
      <c r="E619" s="1">
        <v>44136</v>
      </c>
      <c r="F619">
        <v>1</v>
      </c>
      <c r="G619">
        <v>11</v>
      </c>
      <c r="H619">
        <v>2020</v>
      </c>
      <c r="I619">
        <v>1960</v>
      </c>
      <c r="J619">
        <v>735</v>
      </c>
      <c r="N619" s="1"/>
    </row>
    <row r="620" spans="1:14">
      <c r="A620">
        <v>1</v>
      </c>
      <c r="B620">
        <v>483789</v>
      </c>
      <c r="C620" t="s">
        <v>13</v>
      </c>
      <c r="D620" s="2">
        <v>2689</v>
      </c>
      <c r="E620" s="1">
        <v>44136</v>
      </c>
      <c r="F620">
        <v>1</v>
      </c>
      <c r="G620">
        <v>11</v>
      </c>
      <c r="H620">
        <v>2020</v>
      </c>
      <c r="I620">
        <v>10756</v>
      </c>
      <c r="J620">
        <v>4033.5</v>
      </c>
      <c r="N620" s="1"/>
    </row>
    <row r="621" spans="1:14">
      <c r="A621">
        <v>3</v>
      </c>
      <c r="B621">
        <v>199710</v>
      </c>
      <c r="C621" t="s">
        <v>13</v>
      </c>
      <c r="D621" s="2">
        <v>1513</v>
      </c>
      <c r="E621" s="1">
        <v>44136</v>
      </c>
      <c r="F621">
        <v>1</v>
      </c>
      <c r="G621">
        <v>11</v>
      </c>
      <c r="H621">
        <v>2020</v>
      </c>
      <c r="I621">
        <v>6052</v>
      </c>
      <c r="J621">
        <v>2269.5</v>
      </c>
      <c r="N621" s="1"/>
    </row>
    <row r="622" spans="1:14">
      <c r="A622">
        <v>5</v>
      </c>
      <c r="B622">
        <v>275167</v>
      </c>
      <c r="C622" t="s">
        <v>14</v>
      </c>
      <c r="D622" s="2">
        <v>1744</v>
      </c>
      <c r="E622" s="1">
        <v>44136</v>
      </c>
      <c r="F622">
        <v>1</v>
      </c>
      <c r="G622">
        <v>11</v>
      </c>
      <c r="H622">
        <v>2020</v>
      </c>
      <c r="I622">
        <v>5232</v>
      </c>
      <c r="J622">
        <v>2180</v>
      </c>
      <c r="N622" s="1"/>
    </row>
    <row r="623" spans="1:14">
      <c r="A623">
        <v>3</v>
      </c>
      <c r="B623">
        <v>867837</v>
      </c>
      <c r="C623" t="s">
        <v>14</v>
      </c>
      <c r="D623" s="2">
        <v>877</v>
      </c>
      <c r="E623" s="1">
        <v>44136</v>
      </c>
      <c r="F623">
        <v>1</v>
      </c>
      <c r="G623">
        <v>11</v>
      </c>
      <c r="H623">
        <v>2020</v>
      </c>
      <c r="I623">
        <v>2631</v>
      </c>
      <c r="J623">
        <v>1096.25</v>
      </c>
      <c r="N623" s="1"/>
    </row>
    <row r="624" spans="1:14">
      <c r="A624">
        <v>2</v>
      </c>
      <c r="B624">
        <v>820943</v>
      </c>
      <c r="C624" t="s">
        <v>14</v>
      </c>
      <c r="D624" s="2">
        <v>2529</v>
      </c>
      <c r="E624" s="1">
        <v>44136</v>
      </c>
      <c r="F624">
        <v>1</v>
      </c>
      <c r="G624">
        <v>11</v>
      </c>
      <c r="H624">
        <v>2020</v>
      </c>
      <c r="I624">
        <v>7587</v>
      </c>
      <c r="J624">
        <v>3161.25</v>
      </c>
      <c r="N624" s="1"/>
    </row>
    <row r="625" spans="1:14">
      <c r="A625">
        <v>2</v>
      </c>
      <c r="B625">
        <v>601126</v>
      </c>
      <c r="C625" t="s">
        <v>14</v>
      </c>
      <c r="D625" s="2">
        <v>2387</v>
      </c>
      <c r="E625" s="1">
        <v>44136</v>
      </c>
      <c r="F625">
        <v>1</v>
      </c>
      <c r="G625">
        <v>11</v>
      </c>
      <c r="H625">
        <v>2020</v>
      </c>
      <c r="I625">
        <v>7161</v>
      </c>
      <c r="J625">
        <v>2983.75</v>
      </c>
      <c r="N625" s="1"/>
    </row>
    <row r="626" spans="1:14">
      <c r="A626">
        <v>4</v>
      </c>
      <c r="B626">
        <v>483216</v>
      </c>
      <c r="C626" t="s">
        <v>14</v>
      </c>
      <c r="D626" s="2">
        <v>552</v>
      </c>
      <c r="E626" s="1">
        <v>44136</v>
      </c>
      <c r="F626">
        <v>1</v>
      </c>
      <c r="G626">
        <v>11</v>
      </c>
      <c r="H626">
        <v>2020</v>
      </c>
      <c r="I626">
        <v>1656</v>
      </c>
      <c r="J626">
        <v>690</v>
      </c>
      <c r="N626" s="1"/>
    </row>
    <row r="627" spans="1:14">
      <c r="A627">
        <v>3</v>
      </c>
      <c r="B627">
        <v>584477</v>
      </c>
      <c r="C627" t="s">
        <v>15</v>
      </c>
      <c r="D627" s="2">
        <v>639</v>
      </c>
      <c r="E627" s="1">
        <v>44136</v>
      </c>
      <c r="F627">
        <v>1</v>
      </c>
      <c r="G627">
        <v>11</v>
      </c>
      <c r="H627">
        <v>2020</v>
      </c>
      <c r="I627">
        <v>3834</v>
      </c>
      <c r="J627">
        <v>1757.25</v>
      </c>
      <c r="N627" s="1"/>
    </row>
    <row r="628" spans="1:14">
      <c r="A628">
        <v>3</v>
      </c>
      <c r="B628">
        <v>169621</v>
      </c>
      <c r="C628" t="s">
        <v>15</v>
      </c>
      <c r="D628" s="2">
        <v>1333</v>
      </c>
      <c r="E628" s="1">
        <v>44136</v>
      </c>
      <c r="F628">
        <v>1</v>
      </c>
      <c r="G628">
        <v>11</v>
      </c>
      <c r="H628">
        <v>2020</v>
      </c>
      <c r="I628">
        <v>7998</v>
      </c>
      <c r="J628">
        <v>3665.75</v>
      </c>
      <c r="N628" s="1"/>
    </row>
    <row r="629" spans="1:14">
      <c r="A629">
        <v>3</v>
      </c>
      <c r="B629">
        <v>433084</v>
      </c>
      <c r="C629" t="s">
        <v>15</v>
      </c>
      <c r="D629" s="2">
        <v>547</v>
      </c>
      <c r="E629" s="1">
        <v>44136</v>
      </c>
      <c r="F629">
        <v>1</v>
      </c>
      <c r="G629">
        <v>11</v>
      </c>
      <c r="H629">
        <v>2020</v>
      </c>
      <c r="I629">
        <v>3282</v>
      </c>
      <c r="J629">
        <v>1504.25</v>
      </c>
      <c r="N629" s="1"/>
    </row>
    <row r="630" spans="1:14">
      <c r="A630">
        <v>4</v>
      </c>
      <c r="B630">
        <v>632477</v>
      </c>
      <c r="C630" t="s">
        <v>15</v>
      </c>
      <c r="D630" s="2">
        <v>2665</v>
      </c>
      <c r="E630" s="1">
        <v>44136</v>
      </c>
      <c r="F630">
        <v>1</v>
      </c>
      <c r="G630">
        <v>11</v>
      </c>
      <c r="H630">
        <v>2020</v>
      </c>
      <c r="I630">
        <v>15990</v>
      </c>
      <c r="J630">
        <v>7328.75</v>
      </c>
      <c r="N630" s="1"/>
    </row>
    <row r="631" spans="1:14">
      <c r="A631">
        <v>2</v>
      </c>
      <c r="B631">
        <v>356550</v>
      </c>
      <c r="C631" t="s">
        <v>15</v>
      </c>
      <c r="D631" s="2">
        <v>1808</v>
      </c>
      <c r="E631" s="1">
        <v>44136</v>
      </c>
      <c r="F631">
        <v>1</v>
      </c>
      <c r="G631">
        <v>11</v>
      </c>
      <c r="H631">
        <v>2020</v>
      </c>
      <c r="I631">
        <v>10848</v>
      </c>
      <c r="J631">
        <v>4972</v>
      </c>
      <c r="N631" s="1"/>
    </row>
    <row r="632" spans="1:14">
      <c r="A632">
        <v>4</v>
      </c>
      <c r="B632">
        <v>481875</v>
      </c>
      <c r="C632" t="s">
        <v>10</v>
      </c>
      <c r="D632" s="2">
        <v>1817</v>
      </c>
      <c r="E632" s="1">
        <v>44166</v>
      </c>
      <c r="F632">
        <v>1</v>
      </c>
      <c r="G632">
        <v>12</v>
      </c>
      <c r="H632">
        <v>2020</v>
      </c>
      <c r="I632">
        <v>9085</v>
      </c>
      <c r="J632">
        <v>3634</v>
      </c>
      <c r="N632" s="1"/>
    </row>
    <row r="633" spans="1:14">
      <c r="A633">
        <v>3</v>
      </c>
      <c r="B633">
        <v>183251</v>
      </c>
      <c r="C633" t="s">
        <v>10</v>
      </c>
      <c r="D633" s="2">
        <v>1513</v>
      </c>
      <c r="E633" s="1">
        <v>44166</v>
      </c>
      <c r="F633">
        <v>1</v>
      </c>
      <c r="G633">
        <v>12</v>
      </c>
      <c r="H633">
        <v>2020</v>
      </c>
      <c r="I633">
        <v>7565</v>
      </c>
      <c r="J633">
        <v>3026</v>
      </c>
      <c r="N633" s="1"/>
    </row>
    <row r="634" spans="1:14">
      <c r="A634">
        <v>1</v>
      </c>
      <c r="B634">
        <v>481324</v>
      </c>
      <c r="C634" t="s">
        <v>10</v>
      </c>
      <c r="D634" s="2">
        <v>2155</v>
      </c>
      <c r="E634" s="1">
        <v>44166</v>
      </c>
      <c r="F634">
        <v>1</v>
      </c>
      <c r="G634">
        <v>12</v>
      </c>
      <c r="H634">
        <v>2020</v>
      </c>
      <c r="I634">
        <v>10775</v>
      </c>
      <c r="J634">
        <v>4310</v>
      </c>
      <c r="N634" s="1"/>
    </row>
    <row r="635" spans="1:14">
      <c r="A635">
        <v>5</v>
      </c>
      <c r="B635">
        <v>778039</v>
      </c>
      <c r="C635" t="s">
        <v>10</v>
      </c>
      <c r="D635" s="2">
        <v>1916</v>
      </c>
      <c r="E635" s="1">
        <v>44166</v>
      </c>
      <c r="F635">
        <v>1</v>
      </c>
      <c r="G635">
        <v>12</v>
      </c>
      <c r="H635">
        <v>2020</v>
      </c>
      <c r="I635">
        <v>9580</v>
      </c>
      <c r="J635">
        <v>3832</v>
      </c>
      <c r="N635" s="1"/>
    </row>
    <row r="636" spans="1:14">
      <c r="A636">
        <v>5</v>
      </c>
      <c r="B636">
        <v>177011</v>
      </c>
      <c r="C636" t="s">
        <v>10</v>
      </c>
      <c r="D636" s="2">
        <v>2852</v>
      </c>
      <c r="E636" s="1">
        <v>44166</v>
      </c>
      <c r="F636">
        <v>1</v>
      </c>
      <c r="G636">
        <v>12</v>
      </c>
      <c r="H636">
        <v>2020</v>
      </c>
      <c r="I636">
        <v>14260</v>
      </c>
      <c r="J636">
        <v>5704</v>
      </c>
      <c r="N636" s="1"/>
    </row>
    <row r="637" spans="1:14">
      <c r="A637">
        <v>2</v>
      </c>
      <c r="B637">
        <v>306694</v>
      </c>
      <c r="C637" t="s">
        <v>10</v>
      </c>
      <c r="D637" s="2">
        <v>2729</v>
      </c>
      <c r="E637" s="1">
        <v>44166</v>
      </c>
      <c r="F637">
        <v>1</v>
      </c>
      <c r="G637">
        <v>12</v>
      </c>
      <c r="H637">
        <v>2020</v>
      </c>
      <c r="I637">
        <v>13645</v>
      </c>
      <c r="J637">
        <v>5458</v>
      </c>
      <c r="N637" s="1"/>
    </row>
    <row r="638" spans="1:14">
      <c r="A638">
        <v>5</v>
      </c>
      <c r="B638">
        <v>531834</v>
      </c>
      <c r="C638" t="s">
        <v>10</v>
      </c>
      <c r="D638" s="2">
        <v>1055</v>
      </c>
      <c r="E638" s="1">
        <v>44166</v>
      </c>
      <c r="F638">
        <v>1</v>
      </c>
      <c r="G638">
        <v>12</v>
      </c>
      <c r="H638">
        <v>2020</v>
      </c>
      <c r="I638">
        <v>5275</v>
      </c>
      <c r="J638">
        <v>2110</v>
      </c>
      <c r="N638" s="1"/>
    </row>
    <row r="639" spans="1:14">
      <c r="A639">
        <v>3</v>
      </c>
      <c r="B639">
        <v>300303</v>
      </c>
      <c r="C639" t="s">
        <v>10</v>
      </c>
      <c r="D639" s="2">
        <v>1084</v>
      </c>
      <c r="E639" s="1">
        <v>44166</v>
      </c>
      <c r="F639">
        <v>1</v>
      </c>
      <c r="G639">
        <v>12</v>
      </c>
      <c r="H639">
        <v>2020</v>
      </c>
      <c r="I639">
        <v>5420</v>
      </c>
      <c r="J639">
        <v>2168</v>
      </c>
      <c r="N639" s="1"/>
    </row>
    <row r="640" spans="1:14">
      <c r="A640">
        <v>2</v>
      </c>
      <c r="B640">
        <v>455780</v>
      </c>
      <c r="C640" t="s">
        <v>10</v>
      </c>
      <c r="D640" s="2">
        <v>1287</v>
      </c>
      <c r="E640" s="1">
        <v>44166</v>
      </c>
      <c r="F640">
        <v>1</v>
      </c>
      <c r="G640">
        <v>12</v>
      </c>
      <c r="H640">
        <v>2020</v>
      </c>
      <c r="I640">
        <v>6435</v>
      </c>
      <c r="J640">
        <v>2574</v>
      </c>
      <c r="N640" s="1"/>
    </row>
    <row r="641" spans="1:14">
      <c r="A641">
        <v>2</v>
      </c>
      <c r="B641">
        <v>566401</v>
      </c>
      <c r="C641" t="s">
        <v>10</v>
      </c>
      <c r="D641" s="2">
        <v>1706</v>
      </c>
      <c r="E641" s="1">
        <v>44166</v>
      </c>
      <c r="F641">
        <v>1</v>
      </c>
      <c r="G641">
        <v>12</v>
      </c>
      <c r="H641">
        <v>2020</v>
      </c>
      <c r="I641">
        <v>8530</v>
      </c>
      <c r="J641">
        <v>3412</v>
      </c>
      <c r="N641" s="1"/>
    </row>
    <row r="642" spans="1:14">
      <c r="A642">
        <v>3</v>
      </c>
      <c r="B642">
        <v>817134</v>
      </c>
      <c r="C642" t="s">
        <v>10</v>
      </c>
      <c r="D642" s="2">
        <v>274</v>
      </c>
      <c r="E642" s="1">
        <v>44166</v>
      </c>
      <c r="F642">
        <v>1</v>
      </c>
      <c r="G642">
        <v>12</v>
      </c>
      <c r="H642">
        <v>2020</v>
      </c>
      <c r="I642">
        <v>1370</v>
      </c>
      <c r="J642">
        <v>548</v>
      </c>
      <c r="N642" s="1"/>
    </row>
    <row r="643" spans="1:14">
      <c r="A643">
        <v>3</v>
      </c>
      <c r="B643">
        <v>697568</v>
      </c>
      <c r="C643" t="s">
        <v>10</v>
      </c>
      <c r="D643" s="2">
        <v>1138</v>
      </c>
      <c r="E643" s="1">
        <v>44166</v>
      </c>
      <c r="F643">
        <v>1</v>
      </c>
      <c r="G643">
        <v>12</v>
      </c>
      <c r="H643">
        <v>2020</v>
      </c>
      <c r="I643">
        <v>5690</v>
      </c>
      <c r="J643">
        <v>2276</v>
      </c>
      <c r="N643" s="1"/>
    </row>
    <row r="644" spans="1:14">
      <c r="A644">
        <v>5</v>
      </c>
      <c r="B644">
        <v>115582</v>
      </c>
      <c r="C644" t="s">
        <v>10</v>
      </c>
      <c r="D644" s="2">
        <v>2431</v>
      </c>
      <c r="E644" s="1">
        <v>44166</v>
      </c>
      <c r="F644">
        <v>1</v>
      </c>
      <c r="G644">
        <v>12</v>
      </c>
      <c r="H644">
        <v>2020</v>
      </c>
      <c r="I644">
        <v>12155</v>
      </c>
      <c r="J644">
        <v>4862</v>
      </c>
      <c r="N644" s="1"/>
    </row>
    <row r="645" spans="1:14">
      <c r="A645">
        <v>4</v>
      </c>
      <c r="B645">
        <v>444225</v>
      </c>
      <c r="C645" t="s">
        <v>10</v>
      </c>
      <c r="D645" s="2">
        <v>2663</v>
      </c>
      <c r="E645" s="1">
        <v>44166</v>
      </c>
      <c r="F645">
        <v>1</v>
      </c>
      <c r="G645">
        <v>12</v>
      </c>
      <c r="H645">
        <v>2020</v>
      </c>
      <c r="I645">
        <v>13315</v>
      </c>
      <c r="J645">
        <v>5326</v>
      </c>
      <c r="N645" s="1"/>
    </row>
    <row r="646" spans="1:14">
      <c r="A646">
        <v>5</v>
      </c>
      <c r="B646">
        <v>816536</v>
      </c>
      <c r="C646" t="s">
        <v>10</v>
      </c>
      <c r="D646" s="2">
        <v>1362</v>
      </c>
      <c r="E646" s="1">
        <v>44166</v>
      </c>
      <c r="F646">
        <v>1</v>
      </c>
      <c r="G646">
        <v>12</v>
      </c>
      <c r="H646">
        <v>2020</v>
      </c>
      <c r="I646">
        <v>6810</v>
      </c>
      <c r="J646">
        <v>2724</v>
      </c>
      <c r="N646" s="1"/>
    </row>
    <row r="647" spans="1:14">
      <c r="A647">
        <v>4</v>
      </c>
      <c r="B647">
        <v>307196</v>
      </c>
      <c r="C647" t="s">
        <v>10</v>
      </c>
      <c r="D647" s="2">
        <v>2797</v>
      </c>
      <c r="E647" s="1">
        <v>44166</v>
      </c>
      <c r="F647">
        <v>1</v>
      </c>
      <c r="G647">
        <v>12</v>
      </c>
      <c r="H647">
        <v>2020</v>
      </c>
      <c r="I647">
        <v>13985</v>
      </c>
      <c r="J647">
        <v>5594</v>
      </c>
      <c r="N647" s="1"/>
    </row>
    <row r="648" spans="1:14">
      <c r="A648">
        <v>5</v>
      </c>
      <c r="B648">
        <v>514463</v>
      </c>
      <c r="C648" t="s">
        <v>10</v>
      </c>
      <c r="D648" s="2">
        <v>1233</v>
      </c>
      <c r="E648" s="1">
        <v>44166</v>
      </c>
      <c r="F648">
        <v>1</v>
      </c>
      <c r="G648">
        <v>12</v>
      </c>
      <c r="H648">
        <v>2020</v>
      </c>
      <c r="I648">
        <v>6165</v>
      </c>
      <c r="J648">
        <v>2466</v>
      </c>
      <c r="N648" s="1"/>
    </row>
    <row r="649" spans="1:14">
      <c r="A649">
        <v>3</v>
      </c>
      <c r="B649">
        <v>143923</v>
      </c>
      <c r="C649" t="s">
        <v>10</v>
      </c>
      <c r="D649" s="2">
        <v>1531</v>
      </c>
      <c r="E649" s="1">
        <v>44166</v>
      </c>
      <c r="F649">
        <v>1</v>
      </c>
      <c r="G649">
        <v>12</v>
      </c>
      <c r="H649">
        <v>2020</v>
      </c>
      <c r="I649">
        <v>7655</v>
      </c>
      <c r="J649">
        <v>3062</v>
      </c>
      <c r="N649" s="1"/>
    </row>
    <row r="650" spans="1:14">
      <c r="A650">
        <v>4</v>
      </c>
      <c r="B650">
        <v>721092</v>
      </c>
      <c r="C650" t="s">
        <v>10</v>
      </c>
      <c r="D650" s="2">
        <v>1013</v>
      </c>
      <c r="E650" s="1">
        <v>44166</v>
      </c>
      <c r="F650">
        <v>1</v>
      </c>
      <c r="G650">
        <v>12</v>
      </c>
      <c r="H650">
        <v>2020</v>
      </c>
      <c r="I650">
        <v>5065</v>
      </c>
      <c r="J650">
        <v>2026</v>
      </c>
      <c r="N650" s="1"/>
    </row>
    <row r="651" spans="1:14">
      <c r="A651">
        <v>5</v>
      </c>
      <c r="B651">
        <v>855262</v>
      </c>
      <c r="C651" t="s">
        <v>10</v>
      </c>
      <c r="D651" s="2">
        <v>914</v>
      </c>
      <c r="E651" s="1">
        <v>44166</v>
      </c>
      <c r="F651">
        <v>1</v>
      </c>
      <c r="G651">
        <v>12</v>
      </c>
      <c r="H651">
        <v>2020</v>
      </c>
      <c r="I651">
        <v>4570</v>
      </c>
      <c r="J651">
        <v>1828</v>
      </c>
      <c r="N651" s="1"/>
    </row>
    <row r="652" spans="1:14">
      <c r="A652">
        <v>4</v>
      </c>
      <c r="B652">
        <v>809091</v>
      </c>
      <c r="C652" t="s">
        <v>10</v>
      </c>
      <c r="D652" s="2">
        <v>293</v>
      </c>
      <c r="E652" s="1">
        <v>44166</v>
      </c>
      <c r="F652">
        <v>1</v>
      </c>
      <c r="G652">
        <v>12</v>
      </c>
      <c r="H652">
        <v>2020</v>
      </c>
      <c r="I652">
        <v>1465</v>
      </c>
      <c r="J652">
        <v>586</v>
      </c>
      <c r="N652" s="1"/>
    </row>
    <row r="653" spans="1:14">
      <c r="A653">
        <v>3</v>
      </c>
      <c r="B653">
        <v>227728</v>
      </c>
      <c r="C653" t="s">
        <v>11</v>
      </c>
      <c r="D653" s="2">
        <v>615</v>
      </c>
      <c r="E653" s="1">
        <v>44166</v>
      </c>
      <c r="F653">
        <v>1</v>
      </c>
      <c r="G653">
        <v>12</v>
      </c>
      <c r="H653">
        <v>2020</v>
      </c>
      <c r="I653">
        <v>615</v>
      </c>
      <c r="J653">
        <v>307.5</v>
      </c>
      <c r="N653" s="1"/>
    </row>
    <row r="654" spans="1:14">
      <c r="A654">
        <v>3</v>
      </c>
      <c r="B654">
        <v>637451</v>
      </c>
      <c r="C654" t="s">
        <v>11</v>
      </c>
      <c r="D654" s="2">
        <v>1287</v>
      </c>
      <c r="E654" s="1">
        <v>44166</v>
      </c>
      <c r="F654">
        <v>1</v>
      </c>
      <c r="G654">
        <v>12</v>
      </c>
      <c r="H654">
        <v>2020</v>
      </c>
      <c r="I654">
        <v>1287</v>
      </c>
      <c r="J654">
        <v>643.5</v>
      </c>
      <c r="N654" s="1"/>
    </row>
    <row r="655" spans="1:14">
      <c r="A655">
        <v>3</v>
      </c>
      <c r="B655">
        <v>494228</v>
      </c>
      <c r="C655" t="s">
        <v>11</v>
      </c>
      <c r="D655" s="2">
        <v>1706</v>
      </c>
      <c r="E655" s="1">
        <v>44166</v>
      </c>
      <c r="F655">
        <v>1</v>
      </c>
      <c r="G655">
        <v>12</v>
      </c>
      <c r="H655">
        <v>2020</v>
      </c>
      <c r="I655">
        <v>1706</v>
      </c>
      <c r="J655">
        <v>853</v>
      </c>
      <c r="N655" s="1"/>
    </row>
    <row r="656" spans="1:14">
      <c r="A656">
        <v>4</v>
      </c>
      <c r="B656">
        <v>130685</v>
      </c>
      <c r="C656" t="s">
        <v>11</v>
      </c>
      <c r="D656" s="2">
        <v>1138</v>
      </c>
      <c r="E656" s="1">
        <v>44166</v>
      </c>
      <c r="F656">
        <v>1</v>
      </c>
      <c r="G656">
        <v>12</v>
      </c>
      <c r="H656">
        <v>2020</v>
      </c>
      <c r="I656">
        <v>1138</v>
      </c>
      <c r="J656">
        <v>569</v>
      </c>
      <c r="N656" s="1"/>
    </row>
    <row r="657" spans="1:14">
      <c r="A657">
        <v>5</v>
      </c>
      <c r="B657">
        <v>711452</v>
      </c>
      <c r="C657" t="s">
        <v>11</v>
      </c>
      <c r="D657" s="2">
        <v>711</v>
      </c>
      <c r="E657" s="1">
        <v>44166</v>
      </c>
      <c r="F657">
        <v>1</v>
      </c>
      <c r="G657">
        <v>12</v>
      </c>
      <c r="H657">
        <v>2020</v>
      </c>
      <c r="I657">
        <v>711</v>
      </c>
      <c r="J657">
        <v>355.5</v>
      </c>
      <c r="N657" s="1"/>
    </row>
    <row r="658" spans="1:14">
      <c r="A658">
        <v>3</v>
      </c>
      <c r="B658">
        <v>390387</v>
      </c>
      <c r="C658" t="s">
        <v>11</v>
      </c>
      <c r="D658" s="2">
        <v>2797</v>
      </c>
      <c r="E658" s="1">
        <v>44166</v>
      </c>
      <c r="F658">
        <v>1</v>
      </c>
      <c r="G658">
        <v>12</v>
      </c>
      <c r="H658">
        <v>2020</v>
      </c>
      <c r="I658">
        <v>2797</v>
      </c>
      <c r="J658">
        <v>1398.5</v>
      </c>
      <c r="N658" s="1"/>
    </row>
    <row r="659" spans="1:14">
      <c r="A659">
        <v>5</v>
      </c>
      <c r="B659">
        <v>742570</v>
      </c>
      <c r="C659" t="s">
        <v>11</v>
      </c>
      <c r="D659" s="2">
        <v>2072</v>
      </c>
      <c r="E659" s="1">
        <v>44166</v>
      </c>
      <c r="F659">
        <v>1</v>
      </c>
      <c r="G659">
        <v>12</v>
      </c>
      <c r="H659">
        <v>2020</v>
      </c>
      <c r="I659">
        <v>2072</v>
      </c>
      <c r="J659">
        <v>1036</v>
      </c>
      <c r="N659" s="1"/>
    </row>
    <row r="660" spans="1:14">
      <c r="A660">
        <v>1</v>
      </c>
      <c r="B660">
        <v>881771</v>
      </c>
      <c r="C660" t="s">
        <v>11</v>
      </c>
      <c r="D660" s="2">
        <v>2157</v>
      </c>
      <c r="E660" s="1">
        <v>44166</v>
      </c>
      <c r="F660">
        <v>1</v>
      </c>
      <c r="G660">
        <v>12</v>
      </c>
      <c r="H660">
        <v>2020</v>
      </c>
      <c r="I660">
        <v>2157</v>
      </c>
      <c r="J660">
        <v>1078.5</v>
      </c>
      <c r="N660" s="1"/>
    </row>
    <row r="661" spans="1:14">
      <c r="A661">
        <v>3</v>
      </c>
      <c r="B661">
        <v>138137</v>
      </c>
      <c r="C661" t="s">
        <v>11</v>
      </c>
      <c r="D661" s="2">
        <v>2300</v>
      </c>
      <c r="E661" s="1">
        <v>44166</v>
      </c>
      <c r="F661">
        <v>1</v>
      </c>
      <c r="G661">
        <v>12</v>
      </c>
      <c r="H661">
        <v>2020</v>
      </c>
      <c r="I661">
        <v>2300</v>
      </c>
      <c r="J661">
        <v>1150</v>
      </c>
      <c r="N661" s="1"/>
    </row>
    <row r="662" spans="1:14">
      <c r="A662">
        <v>2</v>
      </c>
      <c r="B662">
        <v>183779</v>
      </c>
      <c r="C662" t="s">
        <v>12</v>
      </c>
      <c r="D662" s="2">
        <v>615</v>
      </c>
      <c r="E662" s="1">
        <v>44166</v>
      </c>
      <c r="F662">
        <v>1</v>
      </c>
      <c r="G662">
        <v>12</v>
      </c>
      <c r="H662">
        <v>2020</v>
      </c>
      <c r="I662">
        <v>3075</v>
      </c>
      <c r="J662">
        <v>1353</v>
      </c>
      <c r="N662" s="1"/>
    </row>
    <row r="663" spans="1:14">
      <c r="A663">
        <v>3</v>
      </c>
      <c r="B663">
        <v>580583</v>
      </c>
      <c r="C663" t="s">
        <v>12</v>
      </c>
      <c r="D663" s="2">
        <v>1916</v>
      </c>
      <c r="E663" s="1">
        <v>44166</v>
      </c>
      <c r="F663">
        <v>1</v>
      </c>
      <c r="G663">
        <v>12</v>
      </c>
      <c r="H663">
        <v>2020</v>
      </c>
      <c r="I663">
        <v>9580</v>
      </c>
      <c r="J663">
        <v>4215.2000000000007</v>
      </c>
      <c r="N663" s="1"/>
    </row>
    <row r="664" spans="1:14">
      <c r="A664">
        <v>2</v>
      </c>
      <c r="B664">
        <v>707082</v>
      </c>
      <c r="C664" t="s">
        <v>12</v>
      </c>
      <c r="D664" s="2">
        <v>1250</v>
      </c>
      <c r="E664" s="1">
        <v>44166</v>
      </c>
      <c r="F664">
        <v>1</v>
      </c>
      <c r="G664">
        <v>12</v>
      </c>
      <c r="H664">
        <v>2020</v>
      </c>
      <c r="I664">
        <v>6250</v>
      </c>
      <c r="J664">
        <v>2750</v>
      </c>
      <c r="N664" s="1"/>
    </row>
    <row r="665" spans="1:14">
      <c r="A665">
        <v>5</v>
      </c>
      <c r="B665">
        <v>560670</v>
      </c>
      <c r="C665" t="s">
        <v>12</v>
      </c>
      <c r="D665" s="2">
        <v>1372</v>
      </c>
      <c r="E665" s="1">
        <v>44166</v>
      </c>
      <c r="F665">
        <v>1</v>
      </c>
      <c r="G665">
        <v>12</v>
      </c>
      <c r="H665">
        <v>2020</v>
      </c>
      <c r="I665">
        <v>6860</v>
      </c>
      <c r="J665">
        <v>3018.4</v>
      </c>
      <c r="N665" s="1"/>
    </row>
    <row r="666" spans="1:14">
      <c r="A666">
        <v>5</v>
      </c>
      <c r="B666">
        <v>103888</v>
      </c>
      <c r="C666" t="s">
        <v>12</v>
      </c>
      <c r="D666" s="2">
        <v>711</v>
      </c>
      <c r="E666" s="1">
        <v>44166</v>
      </c>
      <c r="F666">
        <v>1</v>
      </c>
      <c r="G666">
        <v>12</v>
      </c>
      <c r="H666">
        <v>2020</v>
      </c>
      <c r="I666">
        <v>3555</v>
      </c>
      <c r="J666">
        <v>1564.2</v>
      </c>
      <c r="N666" s="1"/>
    </row>
    <row r="667" spans="1:14">
      <c r="A667">
        <v>3</v>
      </c>
      <c r="B667">
        <v>480891</v>
      </c>
      <c r="C667" t="s">
        <v>12</v>
      </c>
      <c r="D667" s="2">
        <v>635</v>
      </c>
      <c r="E667" s="1">
        <v>44166</v>
      </c>
      <c r="F667">
        <v>1</v>
      </c>
      <c r="G667">
        <v>12</v>
      </c>
      <c r="H667">
        <v>2020</v>
      </c>
      <c r="I667">
        <v>3175</v>
      </c>
      <c r="J667">
        <v>1397</v>
      </c>
      <c r="N667" s="1"/>
    </row>
    <row r="668" spans="1:14">
      <c r="A668">
        <v>5</v>
      </c>
      <c r="B668">
        <v>190154</v>
      </c>
      <c r="C668" t="s">
        <v>12</v>
      </c>
      <c r="D668" s="2">
        <v>2072</v>
      </c>
      <c r="E668" s="1">
        <v>44166</v>
      </c>
      <c r="F668">
        <v>1</v>
      </c>
      <c r="G668">
        <v>12</v>
      </c>
      <c r="H668">
        <v>2020</v>
      </c>
      <c r="I668">
        <v>10360</v>
      </c>
      <c r="J668">
        <v>4558.4000000000005</v>
      </c>
      <c r="N668" s="1"/>
    </row>
    <row r="669" spans="1:14">
      <c r="A669">
        <v>3</v>
      </c>
      <c r="B669">
        <v>681348</v>
      </c>
      <c r="C669" t="s">
        <v>12</v>
      </c>
      <c r="D669" s="2">
        <v>853</v>
      </c>
      <c r="E669" s="1">
        <v>44166</v>
      </c>
      <c r="F669">
        <v>1</v>
      </c>
      <c r="G669">
        <v>12</v>
      </c>
      <c r="H669">
        <v>2020</v>
      </c>
      <c r="I669">
        <v>4265</v>
      </c>
      <c r="J669">
        <v>1876.6000000000001</v>
      </c>
      <c r="N669" s="1"/>
    </row>
    <row r="670" spans="1:14">
      <c r="A670">
        <v>5</v>
      </c>
      <c r="B670">
        <v>441751</v>
      </c>
      <c r="C670" t="s">
        <v>12</v>
      </c>
      <c r="D670" s="2">
        <v>2157</v>
      </c>
      <c r="E670" s="1">
        <v>44166</v>
      </c>
      <c r="F670">
        <v>1</v>
      </c>
      <c r="G670">
        <v>12</v>
      </c>
      <c r="H670">
        <v>2020</v>
      </c>
      <c r="I670">
        <v>10785</v>
      </c>
      <c r="J670">
        <v>4745.4000000000005</v>
      </c>
      <c r="N670" s="1"/>
    </row>
    <row r="671" spans="1:14">
      <c r="A671">
        <v>4</v>
      </c>
      <c r="B671">
        <v>682634</v>
      </c>
      <c r="C671" t="s">
        <v>13</v>
      </c>
      <c r="D671" s="2">
        <v>1513</v>
      </c>
      <c r="E671" s="1">
        <v>44166</v>
      </c>
      <c r="F671">
        <v>1</v>
      </c>
      <c r="G671">
        <v>12</v>
      </c>
      <c r="H671">
        <v>2020</v>
      </c>
      <c r="I671">
        <v>6052</v>
      </c>
      <c r="J671">
        <v>2269.5</v>
      </c>
      <c r="N671" s="1"/>
    </row>
    <row r="672" spans="1:14">
      <c r="A672">
        <v>4</v>
      </c>
      <c r="B672">
        <v>338090</v>
      </c>
      <c r="C672" t="s">
        <v>13</v>
      </c>
      <c r="D672" s="2">
        <v>2155</v>
      </c>
      <c r="E672" s="1">
        <v>44166</v>
      </c>
      <c r="F672">
        <v>1</v>
      </c>
      <c r="G672">
        <v>12</v>
      </c>
      <c r="H672">
        <v>2020</v>
      </c>
      <c r="I672">
        <v>8620</v>
      </c>
      <c r="J672">
        <v>3232.5</v>
      </c>
      <c r="N672" s="1"/>
    </row>
    <row r="673" spans="1:14">
      <c r="A673">
        <v>1</v>
      </c>
      <c r="B673">
        <v>866409</v>
      </c>
      <c r="C673" t="s">
        <v>13</v>
      </c>
      <c r="D673" s="2">
        <v>2852</v>
      </c>
      <c r="E673" s="1">
        <v>44166</v>
      </c>
      <c r="F673">
        <v>1</v>
      </c>
      <c r="G673">
        <v>12</v>
      </c>
      <c r="H673">
        <v>2020</v>
      </c>
      <c r="I673">
        <v>11408</v>
      </c>
      <c r="J673">
        <v>4278</v>
      </c>
      <c r="N673" s="1"/>
    </row>
    <row r="674" spans="1:14">
      <c r="A674">
        <v>4</v>
      </c>
      <c r="B674">
        <v>882680</v>
      </c>
      <c r="C674" t="s">
        <v>13</v>
      </c>
      <c r="D674" s="2">
        <v>274</v>
      </c>
      <c r="E674" s="1">
        <v>44166</v>
      </c>
      <c r="F674">
        <v>1</v>
      </c>
      <c r="G674">
        <v>12</v>
      </c>
      <c r="H674">
        <v>2020</v>
      </c>
      <c r="I674">
        <v>1096</v>
      </c>
      <c r="J674">
        <v>411</v>
      </c>
      <c r="N674" s="1"/>
    </row>
    <row r="675" spans="1:14">
      <c r="A675">
        <v>2</v>
      </c>
      <c r="B675">
        <v>539656</v>
      </c>
      <c r="C675" t="s">
        <v>13</v>
      </c>
      <c r="D675" s="2">
        <v>570</v>
      </c>
      <c r="E675" s="1">
        <v>44166</v>
      </c>
      <c r="F675">
        <v>1</v>
      </c>
      <c r="G675">
        <v>12</v>
      </c>
      <c r="H675">
        <v>2020</v>
      </c>
      <c r="I675">
        <v>2280</v>
      </c>
      <c r="J675">
        <v>855</v>
      </c>
      <c r="N675" s="1"/>
    </row>
    <row r="676" spans="1:14">
      <c r="A676">
        <v>2</v>
      </c>
      <c r="B676">
        <v>348955</v>
      </c>
      <c r="C676" t="s">
        <v>13</v>
      </c>
      <c r="D676" s="2">
        <v>2487</v>
      </c>
      <c r="E676" s="1">
        <v>44166</v>
      </c>
      <c r="F676">
        <v>1</v>
      </c>
      <c r="G676">
        <v>12</v>
      </c>
      <c r="H676">
        <v>2020</v>
      </c>
      <c r="I676">
        <v>9948</v>
      </c>
      <c r="J676">
        <v>3730.5</v>
      </c>
      <c r="N676" s="1"/>
    </row>
    <row r="677" spans="1:14">
      <c r="A677">
        <v>4</v>
      </c>
      <c r="B677">
        <v>702657</v>
      </c>
      <c r="C677" t="s">
        <v>13</v>
      </c>
      <c r="D677" s="2">
        <v>1362</v>
      </c>
      <c r="E677" s="1">
        <v>44166</v>
      </c>
      <c r="F677">
        <v>1</v>
      </c>
      <c r="G677">
        <v>12</v>
      </c>
      <c r="H677">
        <v>2020</v>
      </c>
      <c r="I677">
        <v>5448</v>
      </c>
      <c r="J677">
        <v>2043</v>
      </c>
      <c r="N677" s="1"/>
    </row>
    <row r="678" spans="1:14">
      <c r="A678">
        <v>2</v>
      </c>
      <c r="B678">
        <v>361276</v>
      </c>
      <c r="C678" t="s">
        <v>13</v>
      </c>
      <c r="D678" s="2">
        <v>521</v>
      </c>
      <c r="E678" s="1">
        <v>44166</v>
      </c>
      <c r="F678">
        <v>1</v>
      </c>
      <c r="G678">
        <v>12</v>
      </c>
      <c r="H678">
        <v>2020</v>
      </c>
      <c r="I678">
        <v>2084</v>
      </c>
      <c r="J678">
        <v>781.5</v>
      </c>
      <c r="N678" s="1"/>
    </row>
    <row r="679" spans="1:14">
      <c r="A679">
        <v>4</v>
      </c>
      <c r="B679">
        <v>684001</v>
      </c>
      <c r="C679" t="s">
        <v>13</v>
      </c>
      <c r="D679" s="2">
        <v>280</v>
      </c>
      <c r="E679" s="1">
        <v>44166</v>
      </c>
      <c r="F679">
        <v>1</v>
      </c>
      <c r="G679">
        <v>12</v>
      </c>
      <c r="H679">
        <v>2020</v>
      </c>
      <c r="I679">
        <v>1120</v>
      </c>
      <c r="J679">
        <v>420</v>
      </c>
      <c r="N679" s="1"/>
    </row>
    <row r="680" spans="1:14">
      <c r="A680">
        <v>4</v>
      </c>
      <c r="B680">
        <v>632637</v>
      </c>
      <c r="C680" t="s">
        <v>13</v>
      </c>
      <c r="D680" s="2">
        <v>2300</v>
      </c>
      <c r="E680" s="1">
        <v>44166</v>
      </c>
      <c r="F680">
        <v>1</v>
      </c>
      <c r="G680">
        <v>12</v>
      </c>
      <c r="H680">
        <v>2020</v>
      </c>
      <c r="I680">
        <v>9200</v>
      </c>
      <c r="J680">
        <v>3450</v>
      </c>
      <c r="N680" s="1"/>
    </row>
    <row r="681" spans="1:14">
      <c r="A681">
        <v>4</v>
      </c>
      <c r="B681">
        <v>745887</v>
      </c>
      <c r="C681" t="s">
        <v>14</v>
      </c>
      <c r="D681" s="2">
        <v>1817</v>
      </c>
      <c r="E681" s="1">
        <v>44166</v>
      </c>
      <c r="F681">
        <v>1</v>
      </c>
      <c r="G681">
        <v>12</v>
      </c>
      <c r="H681">
        <v>2020</v>
      </c>
      <c r="I681">
        <v>5451</v>
      </c>
      <c r="J681">
        <v>2271.25</v>
      </c>
      <c r="N681" s="1"/>
    </row>
    <row r="682" spans="1:14">
      <c r="A682">
        <v>4</v>
      </c>
      <c r="B682">
        <v>752965</v>
      </c>
      <c r="C682" t="s">
        <v>14</v>
      </c>
      <c r="D682" s="2">
        <v>2729</v>
      </c>
      <c r="E682" s="1">
        <v>44166</v>
      </c>
      <c r="F682">
        <v>1</v>
      </c>
      <c r="G682">
        <v>12</v>
      </c>
      <c r="H682">
        <v>2020</v>
      </c>
      <c r="I682">
        <v>8187</v>
      </c>
      <c r="J682">
        <v>3411.25</v>
      </c>
      <c r="N682" s="1"/>
    </row>
    <row r="683" spans="1:14">
      <c r="A683">
        <v>2</v>
      </c>
      <c r="B683">
        <v>774130</v>
      </c>
      <c r="C683" t="s">
        <v>14</v>
      </c>
      <c r="D683" s="2">
        <v>2663</v>
      </c>
      <c r="E683" s="1">
        <v>44166</v>
      </c>
      <c r="F683">
        <v>1</v>
      </c>
      <c r="G683">
        <v>12</v>
      </c>
      <c r="H683">
        <v>2020</v>
      </c>
      <c r="I683">
        <v>7989</v>
      </c>
      <c r="J683">
        <v>3328.75</v>
      </c>
      <c r="N683" s="1"/>
    </row>
    <row r="684" spans="1:14">
      <c r="A684">
        <v>2</v>
      </c>
      <c r="B684">
        <v>899502</v>
      </c>
      <c r="C684" t="s">
        <v>14</v>
      </c>
      <c r="D684" s="2">
        <v>570</v>
      </c>
      <c r="E684" s="1">
        <v>44166</v>
      </c>
      <c r="F684">
        <v>1</v>
      </c>
      <c r="G684">
        <v>12</v>
      </c>
      <c r="H684">
        <v>2020</v>
      </c>
      <c r="I684">
        <v>1710</v>
      </c>
      <c r="J684">
        <v>712.5</v>
      </c>
      <c r="N684" s="1"/>
    </row>
    <row r="685" spans="1:14">
      <c r="A685">
        <v>5</v>
      </c>
      <c r="B685">
        <v>792599</v>
      </c>
      <c r="C685" t="s">
        <v>14</v>
      </c>
      <c r="D685" s="2">
        <v>2487</v>
      </c>
      <c r="E685" s="1">
        <v>44166</v>
      </c>
      <c r="F685">
        <v>1</v>
      </c>
      <c r="G685">
        <v>12</v>
      </c>
      <c r="H685">
        <v>2020</v>
      </c>
      <c r="I685">
        <v>7461</v>
      </c>
      <c r="J685">
        <v>3108.75</v>
      </c>
      <c r="N685" s="1"/>
    </row>
    <row r="686" spans="1:14">
      <c r="A686">
        <v>1</v>
      </c>
      <c r="B686">
        <v>628954</v>
      </c>
      <c r="C686" t="s">
        <v>14</v>
      </c>
      <c r="D686" s="2">
        <v>1582</v>
      </c>
      <c r="E686" s="1">
        <v>44166</v>
      </c>
      <c r="F686">
        <v>1</v>
      </c>
      <c r="G686">
        <v>12</v>
      </c>
      <c r="H686">
        <v>2020</v>
      </c>
      <c r="I686">
        <v>4746</v>
      </c>
      <c r="J686">
        <v>1977.5</v>
      </c>
      <c r="N686" s="1"/>
    </row>
    <row r="687" spans="1:14">
      <c r="A687">
        <v>1</v>
      </c>
      <c r="B687">
        <v>102288</v>
      </c>
      <c r="C687" t="s">
        <v>14</v>
      </c>
      <c r="D687" s="2">
        <v>521</v>
      </c>
      <c r="E687" s="1">
        <v>44166</v>
      </c>
      <c r="F687">
        <v>1</v>
      </c>
      <c r="G687">
        <v>12</v>
      </c>
      <c r="H687">
        <v>2020</v>
      </c>
      <c r="I687">
        <v>1563</v>
      </c>
      <c r="J687">
        <v>651.25</v>
      </c>
      <c r="N687" s="1"/>
    </row>
    <row r="688" spans="1:14">
      <c r="A688">
        <v>3</v>
      </c>
      <c r="B688">
        <v>871331</v>
      </c>
      <c r="C688" t="s">
        <v>14</v>
      </c>
      <c r="D688" s="2">
        <v>1233</v>
      </c>
      <c r="E688" s="1">
        <v>44166</v>
      </c>
      <c r="F688">
        <v>1</v>
      </c>
      <c r="G688">
        <v>12</v>
      </c>
      <c r="H688">
        <v>2020</v>
      </c>
      <c r="I688">
        <v>3699</v>
      </c>
      <c r="J688">
        <v>1541.25</v>
      </c>
      <c r="N688" s="1"/>
    </row>
    <row r="689" spans="1:14">
      <c r="A689">
        <v>4</v>
      </c>
      <c r="B689">
        <v>521663</v>
      </c>
      <c r="C689" t="s">
        <v>14</v>
      </c>
      <c r="D689" s="2">
        <v>1531</v>
      </c>
      <c r="E689" s="1">
        <v>44166</v>
      </c>
      <c r="F689">
        <v>1</v>
      </c>
      <c r="G689">
        <v>12</v>
      </c>
      <c r="H689">
        <v>2020</v>
      </c>
      <c r="I689">
        <v>4593</v>
      </c>
      <c r="J689">
        <v>1913.75</v>
      </c>
      <c r="N689" s="1"/>
    </row>
    <row r="690" spans="1:14">
      <c r="A690">
        <v>3</v>
      </c>
      <c r="B690">
        <v>528145</v>
      </c>
      <c r="C690" t="s">
        <v>14</v>
      </c>
      <c r="D690" s="2">
        <v>280</v>
      </c>
      <c r="E690" s="1">
        <v>44166</v>
      </c>
      <c r="F690">
        <v>1</v>
      </c>
      <c r="G690">
        <v>12</v>
      </c>
      <c r="H690">
        <v>2020</v>
      </c>
      <c r="I690">
        <v>840</v>
      </c>
      <c r="J690">
        <v>350</v>
      </c>
      <c r="N690" s="1"/>
    </row>
    <row r="691" spans="1:14">
      <c r="A691">
        <v>1</v>
      </c>
      <c r="B691">
        <v>887151</v>
      </c>
      <c r="C691" t="s">
        <v>14</v>
      </c>
      <c r="D691" s="2">
        <v>293</v>
      </c>
      <c r="E691" s="1">
        <v>44166</v>
      </c>
      <c r="F691">
        <v>1</v>
      </c>
      <c r="G691">
        <v>12</v>
      </c>
      <c r="H691">
        <v>2020</v>
      </c>
      <c r="I691">
        <v>879</v>
      </c>
      <c r="J691">
        <v>366.25</v>
      </c>
      <c r="N691" s="1"/>
    </row>
    <row r="692" spans="1:14">
      <c r="A692">
        <v>3</v>
      </c>
      <c r="B692">
        <v>367956</v>
      </c>
      <c r="C692" t="s">
        <v>15</v>
      </c>
      <c r="D692" s="2">
        <v>1055</v>
      </c>
      <c r="E692" s="1">
        <v>44166</v>
      </c>
      <c r="F692">
        <v>1</v>
      </c>
      <c r="G692">
        <v>12</v>
      </c>
      <c r="H692">
        <v>2020</v>
      </c>
      <c r="I692">
        <v>6330</v>
      </c>
      <c r="J692">
        <v>2901.25</v>
      </c>
      <c r="N692" s="1"/>
    </row>
    <row r="693" spans="1:14">
      <c r="A693">
        <v>2</v>
      </c>
      <c r="B693">
        <v>765978</v>
      </c>
      <c r="C693" t="s">
        <v>15</v>
      </c>
      <c r="D693" s="2">
        <v>1084</v>
      </c>
      <c r="E693" s="1">
        <v>44166</v>
      </c>
      <c r="F693">
        <v>1</v>
      </c>
      <c r="G693">
        <v>12</v>
      </c>
      <c r="H693">
        <v>2020</v>
      </c>
      <c r="I693">
        <v>6504</v>
      </c>
      <c r="J693">
        <v>2981</v>
      </c>
      <c r="N693" s="1"/>
    </row>
    <row r="694" spans="1:14">
      <c r="A694">
        <v>4</v>
      </c>
      <c r="B694">
        <v>673372</v>
      </c>
      <c r="C694" t="s">
        <v>15</v>
      </c>
      <c r="D694" s="2">
        <v>2431</v>
      </c>
      <c r="E694" s="1">
        <v>44166</v>
      </c>
      <c r="F694">
        <v>1</v>
      </c>
      <c r="G694">
        <v>12</v>
      </c>
      <c r="H694">
        <v>2020</v>
      </c>
      <c r="I694">
        <v>14586</v>
      </c>
      <c r="J694">
        <v>6685.25</v>
      </c>
      <c r="N694" s="1"/>
    </row>
    <row r="695" spans="1:14">
      <c r="A695">
        <v>2</v>
      </c>
      <c r="B695">
        <v>553803</v>
      </c>
      <c r="C695" t="s">
        <v>15</v>
      </c>
      <c r="D695" s="2">
        <v>1250</v>
      </c>
      <c r="E695" s="1">
        <v>44166</v>
      </c>
      <c r="F695">
        <v>1</v>
      </c>
      <c r="G695">
        <v>12</v>
      </c>
      <c r="H695">
        <v>2020</v>
      </c>
      <c r="I695">
        <v>7500</v>
      </c>
      <c r="J695">
        <v>3437.5</v>
      </c>
      <c r="N695" s="1"/>
    </row>
    <row r="696" spans="1:14">
      <c r="A696">
        <v>2</v>
      </c>
      <c r="B696">
        <v>818350</v>
      </c>
      <c r="C696" t="s">
        <v>15</v>
      </c>
      <c r="D696" s="2">
        <v>1582</v>
      </c>
      <c r="E696" s="1">
        <v>44166</v>
      </c>
      <c r="F696">
        <v>1</v>
      </c>
      <c r="G696">
        <v>12</v>
      </c>
      <c r="H696">
        <v>2020</v>
      </c>
      <c r="I696">
        <v>9492</v>
      </c>
      <c r="J696">
        <v>4350.5</v>
      </c>
      <c r="N696" s="1"/>
    </row>
    <row r="697" spans="1:14">
      <c r="A697">
        <v>4</v>
      </c>
      <c r="B697">
        <v>640346</v>
      </c>
      <c r="C697" t="s">
        <v>15</v>
      </c>
      <c r="D697" s="2">
        <v>1372</v>
      </c>
      <c r="E697" s="1">
        <v>44166</v>
      </c>
      <c r="F697">
        <v>1</v>
      </c>
      <c r="G697">
        <v>12</v>
      </c>
      <c r="H697">
        <v>2020</v>
      </c>
      <c r="I697">
        <v>8232</v>
      </c>
      <c r="J697">
        <v>3773</v>
      </c>
      <c r="N697" s="1"/>
    </row>
    <row r="698" spans="1:14">
      <c r="A698">
        <v>3</v>
      </c>
      <c r="B698">
        <v>751314</v>
      </c>
      <c r="C698" t="s">
        <v>15</v>
      </c>
      <c r="D698" s="2">
        <v>635</v>
      </c>
      <c r="E698" s="1">
        <v>44166</v>
      </c>
      <c r="F698">
        <v>1</v>
      </c>
      <c r="G698">
        <v>12</v>
      </c>
      <c r="H698">
        <v>2020</v>
      </c>
      <c r="I698">
        <v>3810</v>
      </c>
      <c r="J698">
        <v>1746.25</v>
      </c>
      <c r="N698" s="1"/>
    </row>
    <row r="699" spans="1:14">
      <c r="A699">
        <v>1</v>
      </c>
      <c r="B699">
        <v>428131</v>
      </c>
      <c r="C699" t="s">
        <v>15</v>
      </c>
      <c r="D699" s="2">
        <v>853</v>
      </c>
      <c r="E699" s="1">
        <v>44166</v>
      </c>
      <c r="F699">
        <v>1</v>
      </c>
      <c r="G699">
        <v>12</v>
      </c>
      <c r="H699">
        <v>2020</v>
      </c>
      <c r="I699">
        <v>5118</v>
      </c>
      <c r="J699">
        <v>2345.75</v>
      </c>
      <c r="N699" s="1"/>
    </row>
    <row r="700" spans="1:14">
      <c r="A700">
        <v>3</v>
      </c>
      <c r="B700">
        <v>758487</v>
      </c>
      <c r="C700" t="s">
        <v>15</v>
      </c>
      <c r="D700" s="2">
        <v>1013</v>
      </c>
      <c r="E700" s="1">
        <v>44166</v>
      </c>
      <c r="F700">
        <v>1</v>
      </c>
      <c r="G700">
        <v>12</v>
      </c>
      <c r="H700">
        <v>2020</v>
      </c>
      <c r="I700">
        <v>6078</v>
      </c>
      <c r="J700">
        <v>2785.75</v>
      </c>
      <c r="N700" s="1"/>
    </row>
    <row r="701" spans="1:14">
      <c r="A701">
        <v>4</v>
      </c>
      <c r="B701">
        <v>414628</v>
      </c>
      <c r="C701" t="s">
        <v>15</v>
      </c>
      <c r="D701" s="2">
        <v>914</v>
      </c>
      <c r="E701" s="1">
        <v>44166</v>
      </c>
      <c r="F701">
        <v>1</v>
      </c>
      <c r="G701">
        <v>12</v>
      </c>
      <c r="H701">
        <v>2020</v>
      </c>
      <c r="I701">
        <v>5484</v>
      </c>
      <c r="J701">
        <v>2513.5</v>
      </c>
      <c r="N701" s="1"/>
    </row>
    <row r="702" spans="1:14">
      <c r="L702" s="1"/>
    </row>
    <row r="703" spans="1:14">
      <c r="L703" s="1"/>
    </row>
    <row r="704" spans="1:14">
      <c r="L70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4F6E-2135-410E-8578-052648D32B86}">
  <dimension ref="A1:T704"/>
  <sheetViews>
    <sheetView workbookViewId="0"/>
  </sheetViews>
  <sheetFormatPr defaultRowHeight="15"/>
  <cols>
    <col min="1" max="1" width="14.140625" bestFit="1" customWidth="1"/>
    <col min="2" max="2" width="10.7109375" bestFit="1" customWidth="1"/>
    <col min="3" max="3" width="30.7109375" customWidth="1"/>
    <col min="4" max="4" width="12.28515625" bestFit="1" customWidth="1"/>
    <col min="5" max="5" width="10.140625" style="1" bestFit="1" customWidth="1"/>
    <col min="6" max="6" width="12.140625" bestFit="1" customWidth="1"/>
    <col min="7" max="7" width="10" bestFit="1" customWidth="1"/>
    <col min="8" max="8" width="10" customWidth="1"/>
    <col min="9" max="9" width="15" bestFit="1" customWidth="1"/>
    <col min="10" max="11" width="12.5703125" customWidth="1"/>
    <col min="12" max="12" width="9.140625" style="6"/>
    <col min="13" max="13" width="11.5703125" style="7" bestFit="1" customWidth="1"/>
    <col min="14" max="15" width="16.7109375" customWidth="1"/>
    <col min="16" max="16" width="20.42578125" customWidth="1"/>
    <col min="17" max="17" width="1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16</v>
      </c>
      <c r="J1" t="s">
        <v>17</v>
      </c>
      <c r="K1" t="s">
        <v>18</v>
      </c>
      <c r="L1" s="6" t="s">
        <v>19</v>
      </c>
      <c r="M1" t="s">
        <v>8</v>
      </c>
      <c r="N1" s="7" t="s">
        <v>20</v>
      </c>
      <c r="O1" t="s">
        <v>9</v>
      </c>
      <c r="T1" s="1"/>
    </row>
    <row r="2" spans="1:20">
      <c r="A2">
        <v>1</v>
      </c>
      <c r="B2">
        <v>738711</v>
      </c>
      <c r="C2" t="s">
        <v>10</v>
      </c>
      <c r="D2" s="2">
        <v>549</v>
      </c>
      <c r="E2" s="1">
        <v>43709</v>
      </c>
      <c r="F2">
        <v>1</v>
      </c>
      <c r="G2">
        <v>9</v>
      </c>
      <c r="H2">
        <v>2019</v>
      </c>
      <c r="I2" s="5">
        <f>(Table32[[#This Row],[Revenue]]/Table32[[#This Row],[Units Sold]])</f>
        <v>5</v>
      </c>
      <c r="J2" s="5">
        <f>Table32[[#This Row],[revenue/unit]]-Table32[[#This Row],[Cost/unit]]</f>
        <v>3</v>
      </c>
      <c r="K2">
        <f>Table32[[#This Row],[Revenue]]-Table32[[#This Row],[Cost]]</f>
        <v>1647</v>
      </c>
      <c r="L2" s="6">
        <f>Table32[[#This Row],[Net Profit]]/Table32[[#This Row],[Cost]]</f>
        <v>1.5</v>
      </c>
      <c r="M2">
        <v>2745</v>
      </c>
      <c r="N2" s="7">
        <f>Table32[[#This Row],[Cost]]/Table32[[#This Row],[Units Sold]]</f>
        <v>2</v>
      </c>
      <c r="O2">
        <v>1098</v>
      </c>
      <c r="T2" s="1"/>
    </row>
    <row r="3" spans="1:20">
      <c r="A3">
        <v>5</v>
      </c>
      <c r="B3">
        <v>505339</v>
      </c>
      <c r="C3" t="s">
        <v>10</v>
      </c>
      <c r="D3" s="2">
        <v>788</v>
      </c>
      <c r="E3" s="1">
        <v>43709</v>
      </c>
      <c r="F3">
        <v>1</v>
      </c>
      <c r="G3">
        <v>9</v>
      </c>
      <c r="H3">
        <v>2019</v>
      </c>
      <c r="I3" s="5">
        <f>(Table32[[#This Row],[Revenue]]/Table32[[#This Row],[Units Sold]])</f>
        <v>5</v>
      </c>
      <c r="J3" s="5">
        <f>Table32[[#This Row],[revenue/unit]]-Table32[[#This Row],[Cost/unit]]</f>
        <v>3</v>
      </c>
      <c r="K3">
        <f>Table32[[#This Row],[Revenue]]-Table32[[#This Row],[Cost]]</f>
        <v>2364</v>
      </c>
      <c r="L3" s="6">
        <f>Table32[[#This Row],[Net Profit]]/Table32[[#This Row],[Cost]]</f>
        <v>1.5</v>
      </c>
      <c r="M3">
        <v>3940</v>
      </c>
      <c r="N3" s="7">
        <f>Table32[[#This Row],[Cost]]/Table32[[#This Row],[Units Sold]]</f>
        <v>2</v>
      </c>
      <c r="O3">
        <v>1576</v>
      </c>
      <c r="T3" s="1"/>
    </row>
    <row r="4" spans="1:20">
      <c r="A4">
        <v>1</v>
      </c>
      <c r="B4">
        <v>141665</v>
      </c>
      <c r="C4" t="s">
        <v>10</v>
      </c>
      <c r="D4" s="2">
        <v>1760</v>
      </c>
      <c r="E4" s="1">
        <v>43709</v>
      </c>
      <c r="F4">
        <v>1</v>
      </c>
      <c r="G4">
        <v>9</v>
      </c>
      <c r="H4">
        <v>2019</v>
      </c>
      <c r="I4" s="5">
        <f>(Table32[[#This Row],[Revenue]]/Table32[[#This Row],[Units Sold]])</f>
        <v>5</v>
      </c>
      <c r="J4" s="5">
        <f>Table32[[#This Row],[revenue/unit]]-Table32[[#This Row],[Cost/unit]]</f>
        <v>3</v>
      </c>
      <c r="K4">
        <f>Table32[[#This Row],[Revenue]]-Table32[[#This Row],[Cost]]</f>
        <v>5280</v>
      </c>
      <c r="L4" s="6">
        <f>Table32[[#This Row],[Net Profit]]/Table32[[#This Row],[Cost]]</f>
        <v>1.5</v>
      </c>
      <c r="M4">
        <v>8800</v>
      </c>
      <c r="N4" s="7">
        <f>Table32[[#This Row],[Cost]]/Table32[[#This Row],[Units Sold]]</f>
        <v>2</v>
      </c>
      <c r="O4">
        <v>3520</v>
      </c>
      <c r="T4" s="1"/>
    </row>
    <row r="5" spans="1:20">
      <c r="A5">
        <v>2</v>
      </c>
      <c r="B5">
        <v>678731</v>
      </c>
      <c r="C5" t="s">
        <v>10</v>
      </c>
      <c r="D5" s="2">
        <v>2349</v>
      </c>
      <c r="E5" s="1">
        <v>43709</v>
      </c>
      <c r="F5">
        <v>1</v>
      </c>
      <c r="G5">
        <v>9</v>
      </c>
      <c r="H5">
        <v>2019</v>
      </c>
      <c r="I5" s="5">
        <f>(Table32[[#This Row],[Revenue]]/Table32[[#This Row],[Units Sold]])</f>
        <v>5</v>
      </c>
      <c r="J5" s="5">
        <f>Table32[[#This Row],[revenue/unit]]-Table32[[#This Row],[Cost/unit]]</f>
        <v>3</v>
      </c>
      <c r="K5">
        <f>Table32[[#This Row],[Revenue]]-Table32[[#This Row],[Cost]]</f>
        <v>7047</v>
      </c>
      <c r="L5" s="6">
        <f>Table32[[#This Row],[Net Profit]]/Table32[[#This Row],[Cost]]</f>
        <v>1.5</v>
      </c>
      <c r="M5">
        <v>11745</v>
      </c>
      <c r="N5" s="7">
        <f>Table32[[#This Row],[Cost]]/Table32[[#This Row],[Units Sold]]</f>
        <v>2</v>
      </c>
      <c r="O5">
        <v>4698</v>
      </c>
      <c r="T5" s="1"/>
    </row>
    <row r="6" spans="1:20">
      <c r="A6">
        <v>1</v>
      </c>
      <c r="B6">
        <v>142979</v>
      </c>
      <c r="C6" t="s">
        <v>10</v>
      </c>
      <c r="D6" s="2">
        <v>1031</v>
      </c>
      <c r="E6" s="1">
        <v>43709</v>
      </c>
      <c r="F6">
        <v>1</v>
      </c>
      <c r="G6">
        <v>9</v>
      </c>
      <c r="H6">
        <v>2019</v>
      </c>
      <c r="I6" s="5">
        <f>(Table32[[#This Row],[Revenue]]/Table32[[#This Row],[Units Sold]])</f>
        <v>5</v>
      </c>
      <c r="J6" s="5">
        <f>Table32[[#This Row],[revenue/unit]]-Table32[[#This Row],[Cost/unit]]</f>
        <v>3</v>
      </c>
      <c r="K6">
        <f>Table32[[#This Row],[Revenue]]-Table32[[#This Row],[Cost]]</f>
        <v>3093</v>
      </c>
      <c r="L6" s="6">
        <f>Table32[[#This Row],[Net Profit]]/Table32[[#This Row],[Cost]]</f>
        <v>1.5</v>
      </c>
      <c r="M6">
        <v>5155</v>
      </c>
      <c r="N6" s="7">
        <f>Table32[[#This Row],[Cost]]/Table32[[#This Row],[Units Sold]]</f>
        <v>2</v>
      </c>
      <c r="O6">
        <v>2062</v>
      </c>
      <c r="T6" s="1"/>
    </row>
    <row r="7" spans="1:20">
      <c r="A7">
        <v>5</v>
      </c>
      <c r="B7">
        <v>854455</v>
      </c>
      <c r="C7" t="s">
        <v>10</v>
      </c>
      <c r="D7" s="2">
        <v>2931</v>
      </c>
      <c r="E7" s="1">
        <v>43709</v>
      </c>
      <c r="F7">
        <v>1</v>
      </c>
      <c r="G7">
        <v>9</v>
      </c>
      <c r="H7">
        <v>2019</v>
      </c>
      <c r="I7" s="5">
        <f>(Table32[[#This Row],[Revenue]]/Table32[[#This Row],[Units Sold]])</f>
        <v>5</v>
      </c>
      <c r="J7" s="5">
        <f>Table32[[#This Row],[revenue/unit]]-Table32[[#This Row],[Cost/unit]]</f>
        <v>3</v>
      </c>
      <c r="K7">
        <f>Table32[[#This Row],[Revenue]]-Table32[[#This Row],[Cost]]</f>
        <v>8793</v>
      </c>
      <c r="L7" s="6">
        <f>Table32[[#This Row],[Net Profit]]/Table32[[#This Row],[Cost]]</f>
        <v>1.5</v>
      </c>
      <c r="M7">
        <v>14655</v>
      </c>
      <c r="N7" s="7">
        <f>Table32[[#This Row],[Cost]]/Table32[[#This Row],[Units Sold]]</f>
        <v>2</v>
      </c>
      <c r="O7">
        <v>5862</v>
      </c>
      <c r="T7" s="1"/>
    </row>
    <row r="8" spans="1:20">
      <c r="A8">
        <v>2</v>
      </c>
      <c r="B8">
        <v>898591</v>
      </c>
      <c r="C8" t="s">
        <v>10</v>
      </c>
      <c r="D8" s="2">
        <v>1123</v>
      </c>
      <c r="E8" s="1">
        <v>43709</v>
      </c>
      <c r="F8">
        <v>1</v>
      </c>
      <c r="G8">
        <v>9</v>
      </c>
      <c r="H8">
        <v>2019</v>
      </c>
      <c r="I8" s="5">
        <f>(Table32[[#This Row],[Revenue]]/Table32[[#This Row],[Units Sold]])</f>
        <v>5</v>
      </c>
      <c r="J8" s="5">
        <f>Table32[[#This Row],[revenue/unit]]-Table32[[#This Row],[Cost/unit]]</f>
        <v>3</v>
      </c>
      <c r="K8">
        <f>Table32[[#This Row],[Revenue]]-Table32[[#This Row],[Cost]]</f>
        <v>3369</v>
      </c>
      <c r="L8" s="6">
        <f>Table32[[#This Row],[Net Profit]]/Table32[[#This Row],[Cost]]</f>
        <v>1.5</v>
      </c>
      <c r="M8">
        <v>5615</v>
      </c>
      <c r="N8" s="7">
        <f>Table32[[#This Row],[Cost]]/Table32[[#This Row],[Units Sold]]</f>
        <v>2</v>
      </c>
      <c r="O8">
        <v>2246</v>
      </c>
      <c r="T8" s="1"/>
    </row>
    <row r="9" spans="1:20">
      <c r="A9">
        <v>3</v>
      </c>
      <c r="B9">
        <v>231476</v>
      </c>
      <c r="C9" t="s">
        <v>10</v>
      </c>
      <c r="D9" s="2">
        <v>2409</v>
      </c>
      <c r="E9" s="1">
        <v>43709</v>
      </c>
      <c r="F9">
        <v>1</v>
      </c>
      <c r="G9">
        <v>9</v>
      </c>
      <c r="H9">
        <v>2019</v>
      </c>
      <c r="I9" s="5">
        <f>(Table32[[#This Row],[Revenue]]/Table32[[#This Row],[Units Sold]])</f>
        <v>5</v>
      </c>
      <c r="J9" s="5">
        <f>Table32[[#This Row],[revenue/unit]]-Table32[[#This Row],[Cost/unit]]</f>
        <v>3</v>
      </c>
      <c r="K9">
        <f>Table32[[#This Row],[Revenue]]-Table32[[#This Row],[Cost]]</f>
        <v>7227</v>
      </c>
      <c r="L9" s="6">
        <f>Table32[[#This Row],[Net Profit]]/Table32[[#This Row],[Cost]]</f>
        <v>1.5</v>
      </c>
      <c r="M9">
        <v>12045</v>
      </c>
      <c r="N9" s="7">
        <f>Table32[[#This Row],[Cost]]/Table32[[#This Row],[Units Sold]]</f>
        <v>2</v>
      </c>
      <c r="O9">
        <v>4818</v>
      </c>
      <c r="T9" s="1"/>
    </row>
    <row r="10" spans="1:20">
      <c r="A10">
        <v>3</v>
      </c>
      <c r="B10">
        <v>607709</v>
      </c>
      <c r="C10" t="s">
        <v>10</v>
      </c>
      <c r="D10" s="2">
        <v>380</v>
      </c>
      <c r="E10" s="1">
        <v>43709</v>
      </c>
      <c r="F10">
        <v>1</v>
      </c>
      <c r="G10">
        <v>9</v>
      </c>
      <c r="H10">
        <v>2019</v>
      </c>
      <c r="I10" s="5">
        <f>(Table32[[#This Row],[Revenue]]/Table32[[#This Row],[Units Sold]])</f>
        <v>5</v>
      </c>
      <c r="J10" s="5">
        <f>Table32[[#This Row],[revenue/unit]]-Table32[[#This Row],[Cost/unit]]</f>
        <v>3</v>
      </c>
      <c r="K10">
        <f>Table32[[#This Row],[Revenue]]-Table32[[#This Row],[Cost]]</f>
        <v>1140</v>
      </c>
      <c r="L10" s="6">
        <f>Table32[[#This Row],[Net Profit]]/Table32[[#This Row],[Cost]]</f>
        <v>1.5</v>
      </c>
      <c r="M10">
        <v>1900</v>
      </c>
      <c r="N10" s="7">
        <f>Table32[[#This Row],[Cost]]/Table32[[#This Row],[Units Sold]]</f>
        <v>2</v>
      </c>
      <c r="O10">
        <v>760</v>
      </c>
      <c r="T10" s="1"/>
    </row>
    <row r="11" spans="1:20">
      <c r="A11">
        <v>3</v>
      </c>
      <c r="B11">
        <v>864409</v>
      </c>
      <c r="C11" t="s">
        <v>10</v>
      </c>
      <c r="D11" s="2">
        <v>2470</v>
      </c>
      <c r="E11" s="1">
        <v>43709</v>
      </c>
      <c r="F11">
        <v>1</v>
      </c>
      <c r="G11">
        <v>9</v>
      </c>
      <c r="H11">
        <v>2019</v>
      </c>
      <c r="I11" s="5">
        <f>(Table32[[#This Row],[Revenue]]/Table32[[#This Row],[Units Sold]])</f>
        <v>5</v>
      </c>
      <c r="J11" s="5">
        <f>Table32[[#This Row],[revenue/unit]]-Table32[[#This Row],[Cost/unit]]</f>
        <v>3</v>
      </c>
      <c r="K11">
        <f>Table32[[#This Row],[Revenue]]-Table32[[#This Row],[Cost]]</f>
        <v>7410</v>
      </c>
      <c r="L11" s="6">
        <f>Table32[[#This Row],[Net Profit]]/Table32[[#This Row],[Cost]]</f>
        <v>1.5</v>
      </c>
      <c r="M11">
        <v>12350</v>
      </c>
      <c r="N11" s="7">
        <f>Table32[[#This Row],[Cost]]/Table32[[#This Row],[Units Sold]]</f>
        <v>2</v>
      </c>
      <c r="O11">
        <v>4940</v>
      </c>
      <c r="T11" s="1"/>
    </row>
    <row r="12" spans="1:20">
      <c r="A12">
        <v>3</v>
      </c>
      <c r="B12">
        <v>539666</v>
      </c>
      <c r="C12" t="s">
        <v>11</v>
      </c>
      <c r="D12" s="2">
        <v>2498</v>
      </c>
      <c r="E12" s="1">
        <v>43709</v>
      </c>
      <c r="F12">
        <v>1</v>
      </c>
      <c r="G12">
        <v>9</v>
      </c>
      <c r="H12">
        <v>2019</v>
      </c>
      <c r="I12" s="5">
        <f>(Table32[[#This Row],[Revenue]]/Table32[[#This Row],[Units Sold]])</f>
        <v>1</v>
      </c>
      <c r="J12" s="5">
        <f>Table32[[#This Row],[revenue/unit]]-Table32[[#This Row],[Cost/unit]]</f>
        <v>0.5</v>
      </c>
      <c r="K12">
        <f>Table32[[#This Row],[Revenue]]-Table32[[#This Row],[Cost]]</f>
        <v>1249</v>
      </c>
      <c r="L12" s="6">
        <f>Table32[[#This Row],[Net Profit]]/Table32[[#This Row],[Cost]]</f>
        <v>1</v>
      </c>
      <c r="M12">
        <v>2498</v>
      </c>
      <c r="N12" s="7">
        <f>Table32[[#This Row],[Cost]]/Table32[[#This Row],[Units Sold]]</f>
        <v>0.5</v>
      </c>
      <c r="O12">
        <v>1249</v>
      </c>
      <c r="T12" s="1"/>
    </row>
    <row r="13" spans="1:20">
      <c r="A13">
        <v>5</v>
      </c>
      <c r="B13">
        <v>806978</v>
      </c>
      <c r="C13" t="s">
        <v>11</v>
      </c>
      <c r="D13" s="2">
        <v>1797</v>
      </c>
      <c r="E13" s="1">
        <v>43709</v>
      </c>
      <c r="F13">
        <v>1</v>
      </c>
      <c r="G13">
        <v>9</v>
      </c>
      <c r="H13">
        <v>2019</v>
      </c>
      <c r="I13" s="5">
        <f>(Table32[[#This Row],[Revenue]]/Table32[[#This Row],[Units Sold]])</f>
        <v>1</v>
      </c>
      <c r="J13" s="5">
        <f>Table32[[#This Row],[revenue/unit]]-Table32[[#This Row],[Cost/unit]]</f>
        <v>0.5</v>
      </c>
      <c r="K13">
        <f>Table32[[#This Row],[Revenue]]-Table32[[#This Row],[Cost]]</f>
        <v>898.5</v>
      </c>
      <c r="L13" s="6">
        <f>Table32[[#This Row],[Net Profit]]/Table32[[#This Row],[Cost]]</f>
        <v>1</v>
      </c>
      <c r="M13">
        <v>1797</v>
      </c>
      <c r="N13" s="7">
        <f>Table32[[#This Row],[Cost]]/Table32[[#This Row],[Units Sold]]</f>
        <v>0.5</v>
      </c>
      <c r="O13">
        <v>898.5</v>
      </c>
      <c r="T13" s="1"/>
    </row>
    <row r="14" spans="1:20">
      <c r="A14">
        <v>4</v>
      </c>
      <c r="B14">
        <v>594945</v>
      </c>
      <c r="C14" t="s">
        <v>11</v>
      </c>
      <c r="D14" s="2">
        <v>720</v>
      </c>
      <c r="E14" s="1">
        <v>43709</v>
      </c>
      <c r="F14">
        <v>1</v>
      </c>
      <c r="G14">
        <v>9</v>
      </c>
      <c r="H14">
        <v>2019</v>
      </c>
      <c r="I14" s="5">
        <f>(Table32[[#This Row],[Revenue]]/Table32[[#This Row],[Units Sold]])</f>
        <v>1</v>
      </c>
      <c r="J14" s="5">
        <f>Table32[[#This Row],[revenue/unit]]-Table32[[#This Row],[Cost/unit]]</f>
        <v>0.5</v>
      </c>
      <c r="K14">
        <f>Table32[[#This Row],[Revenue]]-Table32[[#This Row],[Cost]]</f>
        <v>360</v>
      </c>
      <c r="L14" s="6">
        <f>Table32[[#This Row],[Net Profit]]/Table32[[#This Row],[Cost]]</f>
        <v>1</v>
      </c>
      <c r="M14">
        <v>720</v>
      </c>
      <c r="N14" s="7">
        <f>Table32[[#This Row],[Cost]]/Table32[[#This Row],[Units Sold]]</f>
        <v>0.5</v>
      </c>
      <c r="O14">
        <v>360</v>
      </c>
      <c r="T14" s="1"/>
    </row>
    <row r="15" spans="1:20">
      <c r="A15">
        <v>3</v>
      </c>
      <c r="B15">
        <v>781308</v>
      </c>
      <c r="C15" t="s">
        <v>11</v>
      </c>
      <c r="D15" s="2">
        <v>1283</v>
      </c>
      <c r="E15" s="1">
        <v>43709</v>
      </c>
      <c r="F15">
        <v>1</v>
      </c>
      <c r="G15">
        <v>9</v>
      </c>
      <c r="H15">
        <v>2019</v>
      </c>
      <c r="I15" s="5">
        <f>(Table32[[#This Row],[Revenue]]/Table32[[#This Row],[Units Sold]])</f>
        <v>1</v>
      </c>
      <c r="J15" s="5">
        <f>Table32[[#This Row],[revenue/unit]]-Table32[[#This Row],[Cost/unit]]</f>
        <v>0.5</v>
      </c>
      <c r="K15">
        <f>Table32[[#This Row],[Revenue]]-Table32[[#This Row],[Cost]]</f>
        <v>641.5</v>
      </c>
      <c r="L15" s="6">
        <f>Table32[[#This Row],[Net Profit]]/Table32[[#This Row],[Cost]]</f>
        <v>1</v>
      </c>
      <c r="M15">
        <v>1283</v>
      </c>
      <c r="N15" s="7">
        <f>Table32[[#This Row],[Cost]]/Table32[[#This Row],[Units Sold]]</f>
        <v>0.5</v>
      </c>
      <c r="O15">
        <v>641.5</v>
      </c>
      <c r="T15" s="1"/>
    </row>
    <row r="16" spans="1:20">
      <c r="A16">
        <v>2</v>
      </c>
      <c r="B16">
        <v>503591</v>
      </c>
      <c r="C16" t="s">
        <v>11</v>
      </c>
      <c r="D16" s="2">
        <v>322</v>
      </c>
      <c r="E16" s="1">
        <v>43709</v>
      </c>
      <c r="F16">
        <v>1</v>
      </c>
      <c r="G16">
        <v>9</v>
      </c>
      <c r="H16">
        <v>2019</v>
      </c>
      <c r="I16" s="5">
        <f>(Table32[[#This Row],[Revenue]]/Table32[[#This Row],[Units Sold]])</f>
        <v>1</v>
      </c>
      <c r="J16" s="5">
        <f>Table32[[#This Row],[revenue/unit]]-Table32[[#This Row],[Cost/unit]]</f>
        <v>0.5</v>
      </c>
      <c r="K16">
        <f>Table32[[#This Row],[Revenue]]-Table32[[#This Row],[Cost]]</f>
        <v>161</v>
      </c>
      <c r="L16" s="6">
        <f>Table32[[#This Row],[Net Profit]]/Table32[[#This Row],[Cost]]</f>
        <v>1</v>
      </c>
      <c r="M16">
        <v>322</v>
      </c>
      <c r="N16" s="7">
        <f>Table32[[#This Row],[Cost]]/Table32[[#This Row],[Units Sold]]</f>
        <v>0.5</v>
      </c>
      <c r="O16">
        <v>161</v>
      </c>
      <c r="T16" s="1"/>
    </row>
    <row r="17" spans="1:20">
      <c r="A17">
        <v>4</v>
      </c>
      <c r="B17">
        <v>304546</v>
      </c>
      <c r="C17" t="s">
        <v>12</v>
      </c>
      <c r="D17" s="2">
        <v>1989</v>
      </c>
      <c r="E17" s="1">
        <v>43709</v>
      </c>
      <c r="F17">
        <v>1</v>
      </c>
      <c r="G17">
        <v>9</v>
      </c>
      <c r="H17">
        <v>2019</v>
      </c>
      <c r="I17" s="5">
        <f>(Table32[[#This Row],[Revenue]]/Table32[[#This Row],[Units Sold]])</f>
        <v>5</v>
      </c>
      <c r="J17" s="5">
        <f>Table32[[#This Row],[revenue/unit]]-Table32[[#This Row],[Cost/unit]]</f>
        <v>2.8</v>
      </c>
      <c r="K17">
        <f>Table32[[#This Row],[Revenue]]-Table32[[#This Row],[Cost]]</f>
        <v>5569.2</v>
      </c>
      <c r="L17" s="6">
        <f>Table32[[#This Row],[Net Profit]]/Table32[[#This Row],[Cost]]</f>
        <v>1.2727272727272727</v>
      </c>
      <c r="M17">
        <v>9945</v>
      </c>
      <c r="N17" s="7">
        <f>Table32[[#This Row],[Cost]]/Table32[[#This Row],[Units Sold]]</f>
        <v>2.2000000000000002</v>
      </c>
      <c r="O17">
        <v>4375.8</v>
      </c>
      <c r="T17" s="1"/>
    </row>
    <row r="18" spans="1:20">
      <c r="A18">
        <v>3</v>
      </c>
      <c r="B18">
        <v>766207</v>
      </c>
      <c r="C18" t="s">
        <v>12</v>
      </c>
      <c r="D18" s="2">
        <v>994</v>
      </c>
      <c r="E18" s="1">
        <v>43709</v>
      </c>
      <c r="F18">
        <v>1</v>
      </c>
      <c r="G18">
        <v>9</v>
      </c>
      <c r="H18">
        <v>2019</v>
      </c>
      <c r="I18" s="5">
        <f>(Table32[[#This Row],[Revenue]]/Table32[[#This Row],[Units Sold]])</f>
        <v>5</v>
      </c>
      <c r="J18" s="5">
        <f>Table32[[#This Row],[revenue/unit]]-Table32[[#This Row],[Cost/unit]]</f>
        <v>2.8</v>
      </c>
      <c r="K18">
        <f>Table32[[#This Row],[Revenue]]-Table32[[#This Row],[Cost]]</f>
        <v>2783.2</v>
      </c>
      <c r="L18" s="6">
        <f>Table32[[#This Row],[Net Profit]]/Table32[[#This Row],[Cost]]</f>
        <v>1.2727272727272725</v>
      </c>
      <c r="M18">
        <v>4970</v>
      </c>
      <c r="N18" s="7">
        <f>Table32[[#This Row],[Cost]]/Table32[[#This Row],[Units Sold]]</f>
        <v>2.2000000000000002</v>
      </c>
      <c r="O18">
        <v>2186.8000000000002</v>
      </c>
      <c r="T18" s="1"/>
    </row>
    <row r="19" spans="1:20">
      <c r="A19">
        <v>2</v>
      </c>
      <c r="B19">
        <v>550622</v>
      </c>
      <c r="C19" t="s">
        <v>12</v>
      </c>
      <c r="D19" s="2">
        <v>947</v>
      </c>
      <c r="E19" s="1">
        <v>43709</v>
      </c>
      <c r="F19">
        <v>1</v>
      </c>
      <c r="G19">
        <v>9</v>
      </c>
      <c r="H19">
        <v>2019</v>
      </c>
      <c r="I19" s="5">
        <f>(Table32[[#This Row],[Revenue]]/Table32[[#This Row],[Units Sold]])</f>
        <v>5</v>
      </c>
      <c r="J19" s="5">
        <f>Table32[[#This Row],[revenue/unit]]-Table32[[#This Row],[Cost/unit]]</f>
        <v>2.8</v>
      </c>
      <c r="K19">
        <f>Table32[[#This Row],[Revenue]]-Table32[[#This Row],[Cost]]</f>
        <v>2651.6</v>
      </c>
      <c r="L19" s="6">
        <f>Table32[[#This Row],[Net Profit]]/Table32[[#This Row],[Cost]]</f>
        <v>1.2727272727272727</v>
      </c>
      <c r="M19">
        <v>4735</v>
      </c>
      <c r="N19" s="7">
        <f>Table32[[#This Row],[Cost]]/Table32[[#This Row],[Units Sold]]</f>
        <v>2.2000000000000002</v>
      </c>
      <c r="O19">
        <v>2083.4</v>
      </c>
      <c r="T19" s="1"/>
    </row>
    <row r="20" spans="1:20">
      <c r="A20">
        <v>4</v>
      </c>
      <c r="B20">
        <v>410583</v>
      </c>
      <c r="C20" t="s">
        <v>12</v>
      </c>
      <c r="D20" s="2">
        <v>2761</v>
      </c>
      <c r="E20" s="1">
        <v>43709</v>
      </c>
      <c r="F20">
        <v>1</v>
      </c>
      <c r="G20">
        <v>9</v>
      </c>
      <c r="H20">
        <v>2019</v>
      </c>
      <c r="I20" s="5">
        <f>(Table32[[#This Row],[Revenue]]/Table32[[#This Row],[Units Sold]])</f>
        <v>5</v>
      </c>
      <c r="J20" s="5">
        <f>Table32[[#This Row],[revenue/unit]]-Table32[[#This Row],[Cost/unit]]</f>
        <v>2.8</v>
      </c>
      <c r="K20">
        <f>Table32[[#This Row],[Revenue]]-Table32[[#This Row],[Cost]]</f>
        <v>7730.7999999999993</v>
      </c>
      <c r="L20" s="6">
        <f>Table32[[#This Row],[Net Profit]]/Table32[[#This Row],[Cost]]</f>
        <v>1.2727272727272725</v>
      </c>
      <c r="M20">
        <v>13805</v>
      </c>
      <c r="N20" s="7">
        <f>Table32[[#This Row],[Cost]]/Table32[[#This Row],[Units Sold]]</f>
        <v>2.2000000000000002</v>
      </c>
      <c r="O20">
        <v>6074.2000000000007</v>
      </c>
      <c r="T20" s="1"/>
    </row>
    <row r="21" spans="1:20">
      <c r="A21">
        <v>3</v>
      </c>
      <c r="B21">
        <v>616987</v>
      </c>
      <c r="C21" t="s">
        <v>13</v>
      </c>
      <c r="D21" s="2">
        <v>330</v>
      </c>
      <c r="E21" s="1">
        <v>43709</v>
      </c>
      <c r="F21">
        <v>1</v>
      </c>
      <c r="G21">
        <v>9</v>
      </c>
      <c r="H21">
        <v>2019</v>
      </c>
      <c r="I21" s="5">
        <f>(Table32[[#This Row],[Revenue]]/Table32[[#This Row],[Units Sold]])</f>
        <v>4</v>
      </c>
      <c r="J21" s="5">
        <f>Table32[[#This Row],[revenue/unit]]-Table32[[#This Row],[Cost/unit]]</f>
        <v>2.5</v>
      </c>
      <c r="K21">
        <f>Table32[[#This Row],[Revenue]]-Table32[[#This Row],[Cost]]</f>
        <v>825</v>
      </c>
      <c r="L21" s="6">
        <f>Table32[[#This Row],[Net Profit]]/Table32[[#This Row],[Cost]]</f>
        <v>1.6666666666666667</v>
      </c>
      <c r="M21">
        <v>1320</v>
      </c>
      <c r="N21" s="7">
        <f>Table32[[#This Row],[Cost]]/Table32[[#This Row],[Units Sold]]</f>
        <v>1.5</v>
      </c>
      <c r="O21">
        <v>495</v>
      </c>
      <c r="T21" s="1"/>
    </row>
    <row r="22" spans="1:20">
      <c r="A22">
        <v>4</v>
      </c>
      <c r="B22">
        <v>119027</v>
      </c>
      <c r="C22" t="s">
        <v>13</v>
      </c>
      <c r="D22" s="2">
        <v>1834</v>
      </c>
      <c r="E22" s="1">
        <v>43709</v>
      </c>
      <c r="F22">
        <v>1</v>
      </c>
      <c r="G22">
        <v>9</v>
      </c>
      <c r="H22">
        <v>2019</v>
      </c>
      <c r="I22" s="5">
        <f>(Table32[[#This Row],[Revenue]]/Table32[[#This Row],[Units Sold]])</f>
        <v>4</v>
      </c>
      <c r="J22" s="5">
        <f>Table32[[#This Row],[revenue/unit]]-Table32[[#This Row],[Cost/unit]]</f>
        <v>2.5</v>
      </c>
      <c r="K22">
        <f>Table32[[#This Row],[Revenue]]-Table32[[#This Row],[Cost]]</f>
        <v>4585</v>
      </c>
      <c r="L22" s="6">
        <f>Table32[[#This Row],[Net Profit]]/Table32[[#This Row],[Cost]]</f>
        <v>1.6666666666666667</v>
      </c>
      <c r="M22">
        <v>7336</v>
      </c>
      <c r="N22" s="7">
        <f>Table32[[#This Row],[Cost]]/Table32[[#This Row],[Units Sold]]</f>
        <v>1.5</v>
      </c>
      <c r="O22">
        <v>2751</v>
      </c>
      <c r="T22" s="1"/>
    </row>
    <row r="23" spans="1:20">
      <c r="A23">
        <v>3</v>
      </c>
      <c r="B23">
        <v>105566</v>
      </c>
      <c r="C23" t="s">
        <v>13</v>
      </c>
      <c r="D23" s="2">
        <v>2416</v>
      </c>
      <c r="E23" s="1">
        <v>43709</v>
      </c>
      <c r="F23">
        <v>1</v>
      </c>
      <c r="G23">
        <v>9</v>
      </c>
      <c r="H23">
        <v>2019</v>
      </c>
      <c r="I23" s="5">
        <f>(Table32[[#This Row],[Revenue]]/Table32[[#This Row],[Units Sold]])</f>
        <v>4</v>
      </c>
      <c r="J23" s="5">
        <f>Table32[[#This Row],[revenue/unit]]-Table32[[#This Row],[Cost/unit]]</f>
        <v>2.5</v>
      </c>
      <c r="K23">
        <f>Table32[[#This Row],[Revenue]]-Table32[[#This Row],[Cost]]</f>
        <v>6040</v>
      </c>
      <c r="L23" s="6">
        <f>Table32[[#This Row],[Net Profit]]/Table32[[#This Row],[Cost]]</f>
        <v>1.6666666666666667</v>
      </c>
      <c r="M23">
        <v>9664</v>
      </c>
      <c r="N23" s="7">
        <f>Table32[[#This Row],[Cost]]/Table32[[#This Row],[Units Sold]]</f>
        <v>1.5</v>
      </c>
      <c r="O23">
        <v>3624</v>
      </c>
      <c r="T23" s="1"/>
    </row>
    <row r="24" spans="1:20">
      <c r="A24">
        <v>3</v>
      </c>
      <c r="B24">
        <v>676544</v>
      </c>
      <c r="C24" t="s">
        <v>13</v>
      </c>
      <c r="D24" s="2">
        <v>442</v>
      </c>
      <c r="E24" s="1">
        <v>43709</v>
      </c>
      <c r="F24">
        <v>1</v>
      </c>
      <c r="G24">
        <v>9</v>
      </c>
      <c r="H24">
        <v>2019</v>
      </c>
      <c r="I24" s="5">
        <f>(Table32[[#This Row],[Revenue]]/Table32[[#This Row],[Units Sold]])</f>
        <v>4</v>
      </c>
      <c r="J24" s="5">
        <f>Table32[[#This Row],[revenue/unit]]-Table32[[#This Row],[Cost/unit]]</f>
        <v>2.5</v>
      </c>
      <c r="K24">
        <f>Table32[[#This Row],[Revenue]]-Table32[[#This Row],[Cost]]</f>
        <v>1105</v>
      </c>
      <c r="L24" s="6">
        <f>Table32[[#This Row],[Net Profit]]/Table32[[#This Row],[Cost]]</f>
        <v>1.6666666666666667</v>
      </c>
      <c r="M24">
        <v>1768</v>
      </c>
      <c r="N24" s="7">
        <f>Table32[[#This Row],[Cost]]/Table32[[#This Row],[Units Sold]]</f>
        <v>1.5</v>
      </c>
      <c r="O24">
        <v>663</v>
      </c>
      <c r="T24" s="1"/>
    </row>
    <row r="25" spans="1:20">
      <c r="A25">
        <v>1</v>
      </c>
      <c r="B25">
        <v>285799</v>
      </c>
      <c r="C25" t="s">
        <v>13</v>
      </c>
      <c r="D25" s="2">
        <v>1023</v>
      </c>
      <c r="E25" s="1">
        <v>43709</v>
      </c>
      <c r="F25">
        <v>1</v>
      </c>
      <c r="G25">
        <v>9</v>
      </c>
      <c r="H25">
        <v>2019</v>
      </c>
      <c r="I25" s="5">
        <f>(Table32[[#This Row],[Revenue]]/Table32[[#This Row],[Units Sold]])</f>
        <v>4</v>
      </c>
      <c r="J25" s="5">
        <f>Table32[[#This Row],[revenue/unit]]-Table32[[#This Row],[Cost/unit]]</f>
        <v>2.5</v>
      </c>
      <c r="K25">
        <f>Table32[[#This Row],[Revenue]]-Table32[[#This Row],[Cost]]</f>
        <v>2557.5</v>
      </c>
      <c r="L25" s="6">
        <f>Table32[[#This Row],[Net Profit]]/Table32[[#This Row],[Cost]]</f>
        <v>1.6666666666666667</v>
      </c>
      <c r="M25">
        <v>4092</v>
      </c>
      <c r="N25" s="7">
        <f>Table32[[#This Row],[Cost]]/Table32[[#This Row],[Units Sold]]</f>
        <v>1.5</v>
      </c>
      <c r="O25">
        <v>1534.5</v>
      </c>
      <c r="T25" s="1"/>
    </row>
    <row r="26" spans="1:20">
      <c r="A26">
        <v>1</v>
      </c>
      <c r="B26">
        <v>587301</v>
      </c>
      <c r="C26" t="s">
        <v>14</v>
      </c>
      <c r="D26" s="2">
        <v>1527</v>
      </c>
      <c r="E26" s="1">
        <v>43709</v>
      </c>
      <c r="F26">
        <v>1</v>
      </c>
      <c r="G26">
        <v>9</v>
      </c>
      <c r="H26">
        <v>2019</v>
      </c>
      <c r="I26" s="5">
        <f>(Table32[[#This Row],[Revenue]]/Table32[[#This Row],[Units Sold]])</f>
        <v>3</v>
      </c>
      <c r="J26" s="5">
        <f>Table32[[#This Row],[revenue/unit]]-Table32[[#This Row],[Cost/unit]]</f>
        <v>1.75</v>
      </c>
      <c r="K26">
        <f>Table32[[#This Row],[Revenue]]-Table32[[#This Row],[Cost]]</f>
        <v>2672.25</v>
      </c>
      <c r="L26" s="6">
        <f>Table32[[#This Row],[Net Profit]]/Table32[[#This Row],[Cost]]</f>
        <v>1.4</v>
      </c>
      <c r="M26">
        <v>4581</v>
      </c>
      <c r="N26" s="7">
        <f>Table32[[#This Row],[Cost]]/Table32[[#This Row],[Units Sold]]</f>
        <v>1.25</v>
      </c>
      <c r="O26">
        <v>1908.75</v>
      </c>
      <c r="T26" s="1"/>
    </row>
    <row r="27" spans="1:20">
      <c r="A27">
        <v>1</v>
      </c>
      <c r="B27">
        <v>581507</v>
      </c>
      <c r="C27" t="s">
        <v>14</v>
      </c>
      <c r="D27" s="2">
        <v>349</v>
      </c>
      <c r="E27" s="1">
        <v>43709</v>
      </c>
      <c r="F27">
        <v>1</v>
      </c>
      <c r="G27">
        <v>9</v>
      </c>
      <c r="H27">
        <v>2019</v>
      </c>
      <c r="I27" s="5">
        <f>(Table32[[#This Row],[Revenue]]/Table32[[#This Row],[Units Sold]])</f>
        <v>3</v>
      </c>
      <c r="J27" s="5">
        <f>Table32[[#This Row],[revenue/unit]]-Table32[[#This Row],[Cost/unit]]</f>
        <v>1.75</v>
      </c>
      <c r="K27">
        <f>Table32[[#This Row],[Revenue]]-Table32[[#This Row],[Cost]]</f>
        <v>610.75</v>
      </c>
      <c r="L27" s="6">
        <f>Table32[[#This Row],[Net Profit]]/Table32[[#This Row],[Cost]]</f>
        <v>1.4</v>
      </c>
      <c r="M27">
        <v>1047</v>
      </c>
      <c r="N27" s="7">
        <f>Table32[[#This Row],[Cost]]/Table32[[#This Row],[Units Sold]]</f>
        <v>1.25</v>
      </c>
      <c r="O27">
        <v>436.25</v>
      </c>
      <c r="T27" s="1"/>
    </row>
    <row r="28" spans="1:20">
      <c r="A28">
        <v>5</v>
      </c>
      <c r="B28">
        <v>899556</v>
      </c>
      <c r="C28" t="s">
        <v>14</v>
      </c>
      <c r="D28" s="2">
        <v>2215</v>
      </c>
      <c r="E28" s="1">
        <v>43709</v>
      </c>
      <c r="F28">
        <v>1</v>
      </c>
      <c r="G28">
        <v>9</v>
      </c>
      <c r="H28">
        <v>2019</v>
      </c>
      <c r="I28" s="5">
        <f>(Table32[[#This Row],[Revenue]]/Table32[[#This Row],[Units Sold]])</f>
        <v>3</v>
      </c>
      <c r="J28" s="5">
        <f>Table32[[#This Row],[revenue/unit]]-Table32[[#This Row],[Cost/unit]]</f>
        <v>1.75</v>
      </c>
      <c r="K28">
        <f>Table32[[#This Row],[Revenue]]-Table32[[#This Row],[Cost]]</f>
        <v>3876.25</v>
      </c>
      <c r="L28" s="6">
        <f>Table32[[#This Row],[Net Profit]]/Table32[[#This Row],[Cost]]</f>
        <v>1.4</v>
      </c>
      <c r="M28">
        <v>6645</v>
      </c>
      <c r="N28" s="7">
        <f>Table32[[#This Row],[Cost]]/Table32[[#This Row],[Units Sold]]</f>
        <v>1.25</v>
      </c>
      <c r="O28">
        <v>2768.75</v>
      </c>
      <c r="T28" s="1"/>
    </row>
    <row r="29" spans="1:20">
      <c r="A29">
        <v>1</v>
      </c>
      <c r="B29">
        <v>594463</v>
      </c>
      <c r="C29" t="s">
        <v>14</v>
      </c>
      <c r="D29" s="2">
        <v>2234</v>
      </c>
      <c r="E29" s="1">
        <v>43709</v>
      </c>
      <c r="F29">
        <v>1</v>
      </c>
      <c r="G29">
        <v>9</v>
      </c>
      <c r="H29">
        <v>2019</v>
      </c>
      <c r="I29" s="5">
        <f>(Table32[[#This Row],[Revenue]]/Table32[[#This Row],[Units Sold]])</f>
        <v>3</v>
      </c>
      <c r="J29" s="5">
        <f>Table32[[#This Row],[revenue/unit]]-Table32[[#This Row],[Cost/unit]]</f>
        <v>1.75</v>
      </c>
      <c r="K29">
        <f>Table32[[#This Row],[Revenue]]-Table32[[#This Row],[Cost]]</f>
        <v>3909.5</v>
      </c>
      <c r="L29" s="6">
        <f>Table32[[#This Row],[Net Profit]]/Table32[[#This Row],[Cost]]</f>
        <v>1.4</v>
      </c>
      <c r="M29">
        <v>6702</v>
      </c>
      <c r="N29" s="7">
        <f>Table32[[#This Row],[Cost]]/Table32[[#This Row],[Units Sold]]</f>
        <v>1.25</v>
      </c>
      <c r="O29">
        <v>2792.5</v>
      </c>
      <c r="T29" s="1"/>
    </row>
    <row r="30" spans="1:20">
      <c r="A30">
        <v>5</v>
      </c>
      <c r="B30">
        <v>808356</v>
      </c>
      <c r="C30" t="s">
        <v>14</v>
      </c>
      <c r="D30" s="2">
        <v>1005</v>
      </c>
      <c r="E30" s="1">
        <v>43709</v>
      </c>
      <c r="F30">
        <v>1</v>
      </c>
      <c r="G30">
        <v>9</v>
      </c>
      <c r="H30">
        <v>2019</v>
      </c>
      <c r="I30" s="5">
        <f>(Table32[[#This Row],[Revenue]]/Table32[[#This Row],[Units Sold]])</f>
        <v>3</v>
      </c>
      <c r="J30" s="5">
        <f>Table32[[#This Row],[revenue/unit]]-Table32[[#This Row],[Cost/unit]]</f>
        <v>1.75</v>
      </c>
      <c r="K30">
        <f>Table32[[#This Row],[Revenue]]-Table32[[#This Row],[Cost]]</f>
        <v>1758.75</v>
      </c>
      <c r="L30" s="6">
        <f>Table32[[#This Row],[Net Profit]]/Table32[[#This Row],[Cost]]</f>
        <v>1.4</v>
      </c>
      <c r="M30">
        <v>3015</v>
      </c>
      <c r="N30" s="7">
        <f>Table32[[#This Row],[Cost]]/Table32[[#This Row],[Units Sold]]</f>
        <v>1.25</v>
      </c>
      <c r="O30">
        <v>1256.25</v>
      </c>
      <c r="T30" s="1"/>
    </row>
    <row r="31" spans="1:20">
      <c r="A31">
        <v>4</v>
      </c>
      <c r="B31">
        <v>362208</v>
      </c>
      <c r="C31" t="s">
        <v>14</v>
      </c>
      <c r="D31" s="2">
        <v>623</v>
      </c>
      <c r="E31" s="1">
        <v>43709</v>
      </c>
      <c r="F31">
        <v>1</v>
      </c>
      <c r="G31">
        <v>9</v>
      </c>
      <c r="H31">
        <v>2019</v>
      </c>
      <c r="I31" s="5">
        <f>(Table32[[#This Row],[Revenue]]/Table32[[#This Row],[Units Sold]])</f>
        <v>3</v>
      </c>
      <c r="J31" s="5">
        <f>Table32[[#This Row],[revenue/unit]]-Table32[[#This Row],[Cost/unit]]</f>
        <v>1.75</v>
      </c>
      <c r="K31">
        <f>Table32[[#This Row],[Revenue]]-Table32[[#This Row],[Cost]]</f>
        <v>1090.25</v>
      </c>
      <c r="L31" s="6">
        <f>Table32[[#This Row],[Net Profit]]/Table32[[#This Row],[Cost]]</f>
        <v>1.4</v>
      </c>
      <c r="M31">
        <v>1869</v>
      </c>
      <c r="N31" s="7">
        <f>Table32[[#This Row],[Cost]]/Table32[[#This Row],[Units Sold]]</f>
        <v>1.25</v>
      </c>
      <c r="O31">
        <v>778.75</v>
      </c>
      <c r="T31" s="1"/>
    </row>
    <row r="32" spans="1:20">
      <c r="A32">
        <v>4</v>
      </c>
      <c r="B32">
        <v>455927</v>
      </c>
      <c r="C32" t="s">
        <v>15</v>
      </c>
      <c r="D32" s="2">
        <v>736</v>
      </c>
      <c r="E32" s="1">
        <v>43709</v>
      </c>
      <c r="F32">
        <v>1</v>
      </c>
      <c r="G32">
        <v>9</v>
      </c>
      <c r="H32">
        <v>2019</v>
      </c>
      <c r="I32" s="5">
        <f>(Table32[[#This Row],[Revenue]]/Table32[[#This Row],[Units Sold]])</f>
        <v>6</v>
      </c>
      <c r="J32" s="5">
        <f>Table32[[#This Row],[revenue/unit]]-Table32[[#This Row],[Cost/unit]]</f>
        <v>3.25</v>
      </c>
      <c r="K32">
        <f>Table32[[#This Row],[Revenue]]-Table32[[#This Row],[Cost]]</f>
        <v>2392</v>
      </c>
      <c r="L32" s="6">
        <f>Table32[[#This Row],[Net Profit]]/Table32[[#This Row],[Cost]]</f>
        <v>1.1818181818181819</v>
      </c>
      <c r="M32">
        <v>4416</v>
      </c>
      <c r="N32" s="7">
        <f>Table32[[#This Row],[Cost]]/Table32[[#This Row],[Units Sold]]</f>
        <v>2.75</v>
      </c>
      <c r="O32">
        <v>2024</v>
      </c>
      <c r="T32" s="1"/>
    </row>
    <row r="33" spans="1:20">
      <c r="A33">
        <v>4</v>
      </c>
      <c r="B33">
        <v>558048</v>
      </c>
      <c r="C33" t="s">
        <v>15</v>
      </c>
      <c r="D33" s="2">
        <v>2646</v>
      </c>
      <c r="E33" s="1">
        <v>43709</v>
      </c>
      <c r="F33">
        <v>1</v>
      </c>
      <c r="G33">
        <v>9</v>
      </c>
      <c r="H33">
        <v>2019</v>
      </c>
      <c r="I33" s="5">
        <f>(Table32[[#This Row],[Revenue]]/Table32[[#This Row],[Units Sold]])</f>
        <v>6</v>
      </c>
      <c r="J33" s="5">
        <f>Table32[[#This Row],[revenue/unit]]-Table32[[#This Row],[Cost/unit]]</f>
        <v>3.25</v>
      </c>
      <c r="K33">
        <f>Table32[[#This Row],[Revenue]]-Table32[[#This Row],[Cost]]</f>
        <v>8599.5</v>
      </c>
      <c r="L33" s="6">
        <f>Table32[[#This Row],[Net Profit]]/Table32[[#This Row],[Cost]]</f>
        <v>1.1818181818181819</v>
      </c>
      <c r="M33">
        <v>15876</v>
      </c>
      <c r="N33" s="7">
        <f>Table32[[#This Row],[Cost]]/Table32[[#This Row],[Units Sold]]</f>
        <v>2.75</v>
      </c>
      <c r="O33">
        <v>7276.5</v>
      </c>
      <c r="T33" s="1"/>
    </row>
    <row r="34" spans="1:20">
      <c r="A34">
        <v>1</v>
      </c>
      <c r="B34">
        <v>494115</v>
      </c>
      <c r="C34" t="s">
        <v>15</v>
      </c>
      <c r="D34" s="2">
        <v>2805</v>
      </c>
      <c r="E34" s="1">
        <v>43709</v>
      </c>
      <c r="F34">
        <v>1</v>
      </c>
      <c r="G34">
        <v>9</v>
      </c>
      <c r="H34">
        <v>2019</v>
      </c>
      <c r="I34" s="5">
        <f>(Table32[[#This Row],[Revenue]]/Table32[[#This Row],[Units Sold]])</f>
        <v>6</v>
      </c>
      <c r="J34" s="5">
        <f>Table32[[#This Row],[revenue/unit]]-Table32[[#This Row],[Cost/unit]]</f>
        <v>3.25</v>
      </c>
      <c r="K34">
        <f>Table32[[#This Row],[Revenue]]-Table32[[#This Row],[Cost]]</f>
        <v>9116.25</v>
      </c>
      <c r="L34" s="6">
        <f>Table32[[#This Row],[Net Profit]]/Table32[[#This Row],[Cost]]</f>
        <v>1.1818181818181819</v>
      </c>
      <c r="M34">
        <v>16830</v>
      </c>
      <c r="N34" s="7">
        <f>Table32[[#This Row],[Cost]]/Table32[[#This Row],[Units Sold]]</f>
        <v>2.75</v>
      </c>
      <c r="O34">
        <v>7713.75</v>
      </c>
      <c r="T34" s="1"/>
    </row>
    <row r="35" spans="1:20">
      <c r="A35">
        <v>4</v>
      </c>
      <c r="B35">
        <v>573970</v>
      </c>
      <c r="C35" t="s">
        <v>15</v>
      </c>
      <c r="D35" s="2">
        <v>655</v>
      </c>
      <c r="E35" s="1">
        <v>43709</v>
      </c>
      <c r="F35">
        <v>1</v>
      </c>
      <c r="G35">
        <v>9</v>
      </c>
      <c r="H35">
        <v>2019</v>
      </c>
      <c r="I35" s="5">
        <f>(Table32[[#This Row],[Revenue]]/Table32[[#This Row],[Units Sold]])</f>
        <v>6</v>
      </c>
      <c r="J35" s="5">
        <f>Table32[[#This Row],[revenue/unit]]-Table32[[#This Row],[Cost/unit]]</f>
        <v>3.25</v>
      </c>
      <c r="K35">
        <f>Table32[[#This Row],[Revenue]]-Table32[[#This Row],[Cost]]</f>
        <v>2128.75</v>
      </c>
      <c r="L35" s="6">
        <f>Table32[[#This Row],[Net Profit]]/Table32[[#This Row],[Cost]]</f>
        <v>1.1818181818181819</v>
      </c>
      <c r="M35">
        <v>3930</v>
      </c>
      <c r="N35" s="7">
        <f>Table32[[#This Row],[Cost]]/Table32[[#This Row],[Units Sold]]</f>
        <v>2.75</v>
      </c>
      <c r="O35">
        <v>1801.25</v>
      </c>
      <c r="T35" s="1"/>
    </row>
    <row r="36" spans="1:20">
      <c r="A36">
        <v>3</v>
      </c>
      <c r="B36">
        <v>899629</v>
      </c>
      <c r="C36" t="s">
        <v>15</v>
      </c>
      <c r="D36" s="2">
        <v>660</v>
      </c>
      <c r="E36" s="1">
        <v>43709</v>
      </c>
      <c r="F36">
        <v>1</v>
      </c>
      <c r="G36">
        <v>9</v>
      </c>
      <c r="H36">
        <v>2019</v>
      </c>
      <c r="I36" s="5">
        <f>(Table32[[#This Row],[Revenue]]/Table32[[#This Row],[Units Sold]])</f>
        <v>6</v>
      </c>
      <c r="J36" s="5">
        <f>Table32[[#This Row],[revenue/unit]]-Table32[[#This Row],[Cost/unit]]</f>
        <v>3.25</v>
      </c>
      <c r="K36">
        <f>Table32[[#This Row],[Revenue]]-Table32[[#This Row],[Cost]]</f>
        <v>2145</v>
      </c>
      <c r="L36" s="6">
        <f>Table32[[#This Row],[Net Profit]]/Table32[[#This Row],[Cost]]</f>
        <v>1.1818181818181819</v>
      </c>
      <c r="M36">
        <v>3960</v>
      </c>
      <c r="N36" s="7">
        <f>Table32[[#This Row],[Cost]]/Table32[[#This Row],[Units Sold]]</f>
        <v>2.75</v>
      </c>
      <c r="O36">
        <v>1815</v>
      </c>
      <c r="T36" s="1"/>
    </row>
    <row r="37" spans="1:20">
      <c r="A37">
        <v>5</v>
      </c>
      <c r="B37">
        <v>238791</v>
      </c>
      <c r="C37" t="s">
        <v>10</v>
      </c>
      <c r="D37" s="2">
        <v>766</v>
      </c>
      <c r="E37" s="1">
        <v>43739</v>
      </c>
      <c r="F37">
        <v>1</v>
      </c>
      <c r="G37">
        <v>10</v>
      </c>
      <c r="H37">
        <v>2019</v>
      </c>
      <c r="I37" s="5">
        <f>(Table32[[#This Row],[Revenue]]/Table32[[#This Row],[Units Sold]])</f>
        <v>5</v>
      </c>
      <c r="J37" s="5">
        <f>Table32[[#This Row],[revenue/unit]]-Table32[[#This Row],[Cost/unit]]</f>
        <v>3</v>
      </c>
      <c r="K37">
        <f>Table32[[#This Row],[Revenue]]-Table32[[#This Row],[Cost]]</f>
        <v>2298</v>
      </c>
      <c r="L37" s="6">
        <f>Table32[[#This Row],[Net Profit]]/Table32[[#This Row],[Cost]]</f>
        <v>1.5</v>
      </c>
      <c r="M37">
        <v>3830</v>
      </c>
      <c r="N37" s="7">
        <f>Table32[[#This Row],[Cost]]/Table32[[#This Row],[Units Sold]]</f>
        <v>2</v>
      </c>
      <c r="O37">
        <v>1532</v>
      </c>
      <c r="T37" s="1"/>
    </row>
    <row r="38" spans="1:20">
      <c r="A38">
        <v>4</v>
      </c>
      <c r="B38">
        <v>875012</v>
      </c>
      <c r="C38" t="s">
        <v>10</v>
      </c>
      <c r="D38" s="2">
        <v>809</v>
      </c>
      <c r="E38" s="1">
        <v>43739</v>
      </c>
      <c r="F38">
        <v>1</v>
      </c>
      <c r="G38">
        <v>10</v>
      </c>
      <c r="H38">
        <v>2019</v>
      </c>
      <c r="I38" s="5">
        <f>(Table32[[#This Row],[Revenue]]/Table32[[#This Row],[Units Sold]])</f>
        <v>5</v>
      </c>
      <c r="J38" s="5">
        <f>Table32[[#This Row],[revenue/unit]]-Table32[[#This Row],[Cost/unit]]</f>
        <v>3</v>
      </c>
      <c r="K38">
        <f>Table32[[#This Row],[Revenue]]-Table32[[#This Row],[Cost]]</f>
        <v>2427</v>
      </c>
      <c r="L38" s="6">
        <f>Table32[[#This Row],[Net Profit]]/Table32[[#This Row],[Cost]]</f>
        <v>1.5</v>
      </c>
      <c r="M38">
        <v>4045</v>
      </c>
      <c r="N38" s="7">
        <f>Table32[[#This Row],[Cost]]/Table32[[#This Row],[Units Sold]]</f>
        <v>2</v>
      </c>
      <c r="O38">
        <v>1618</v>
      </c>
      <c r="T38" s="1"/>
    </row>
    <row r="39" spans="1:20">
      <c r="A39">
        <v>3</v>
      </c>
      <c r="B39">
        <v>505159</v>
      </c>
      <c r="C39" t="s">
        <v>10</v>
      </c>
      <c r="D39" s="2">
        <v>2145</v>
      </c>
      <c r="E39" s="1">
        <v>43739</v>
      </c>
      <c r="F39">
        <v>1</v>
      </c>
      <c r="G39">
        <v>10</v>
      </c>
      <c r="H39">
        <v>2019</v>
      </c>
      <c r="I39" s="5">
        <f>(Table32[[#This Row],[Revenue]]/Table32[[#This Row],[Units Sold]])</f>
        <v>5</v>
      </c>
      <c r="J39" s="5">
        <f>Table32[[#This Row],[revenue/unit]]-Table32[[#This Row],[Cost/unit]]</f>
        <v>3</v>
      </c>
      <c r="K39">
        <f>Table32[[#This Row],[Revenue]]-Table32[[#This Row],[Cost]]</f>
        <v>6435</v>
      </c>
      <c r="L39" s="6">
        <f>Table32[[#This Row],[Net Profit]]/Table32[[#This Row],[Cost]]</f>
        <v>1.5</v>
      </c>
      <c r="M39">
        <v>10725</v>
      </c>
      <c r="N39" s="7">
        <f>Table32[[#This Row],[Cost]]/Table32[[#This Row],[Units Sold]]</f>
        <v>2</v>
      </c>
      <c r="O39">
        <v>4290</v>
      </c>
      <c r="T39" s="1"/>
    </row>
    <row r="40" spans="1:20">
      <c r="A40">
        <v>1</v>
      </c>
      <c r="B40">
        <v>675075</v>
      </c>
      <c r="C40" t="s">
        <v>10</v>
      </c>
      <c r="D40" s="2">
        <v>1945</v>
      </c>
      <c r="E40" s="1">
        <v>43739</v>
      </c>
      <c r="F40">
        <v>1</v>
      </c>
      <c r="G40">
        <v>10</v>
      </c>
      <c r="H40">
        <v>2019</v>
      </c>
      <c r="I40" s="5">
        <f>(Table32[[#This Row],[Revenue]]/Table32[[#This Row],[Units Sold]])</f>
        <v>5</v>
      </c>
      <c r="J40" s="5">
        <f>Table32[[#This Row],[revenue/unit]]-Table32[[#This Row],[Cost/unit]]</f>
        <v>3</v>
      </c>
      <c r="K40">
        <f>Table32[[#This Row],[Revenue]]-Table32[[#This Row],[Cost]]</f>
        <v>5835</v>
      </c>
      <c r="L40" s="6">
        <f>Table32[[#This Row],[Net Profit]]/Table32[[#This Row],[Cost]]</f>
        <v>1.5</v>
      </c>
      <c r="M40">
        <v>9725</v>
      </c>
      <c r="N40" s="7">
        <f>Table32[[#This Row],[Cost]]/Table32[[#This Row],[Units Sold]]</f>
        <v>2</v>
      </c>
      <c r="O40">
        <v>3890</v>
      </c>
      <c r="T40" s="1"/>
    </row>
    <row r="41" spans="1:20">
      <c r="A41">
        <v>1</v>
      </c>
      <c r="B41">
        <v>707858</v>
      </c>
      <c r="C41" t="s">
        <v>10</v>
      </c>
      <c r="D41" s="2">
        <v>671</v>
      </c>
      <c r="E41" s="1">
        <v>43739</v>
      </c>
      <c r="F41">
        <v>1</v>
      </c>
      <c r="G41">
        <v>10</v>
      </c>
      <c r="H41">
        <v>2019</v>
      </c>
      <c r="I41" s="5">
        <f>(Table32[[#This Row],[Revenue]]/Table32[[#This Row],[Units Sold]])</f>
        <v>5</v>
      </c>
      <c r="J41" s="5">
        <f>Table32[[#This Row],[revenue/unit]]-Table32[[#This Row],[Cost/unit]]</f>
        <v>3</v>
      </c>
      <c r="K41">
        <f>Table32[[#This Row],[Revenue]]-Table32[[#This Row],[Cost]]</f>
        <v>2013</v>
      </c>
      <c r="L41" s="6">
        <f>Table32[[#This Row],[Net Profit]]/Table32[[#This Row],[Cost]]</f>
        <v>1.5</v>
      </c>
      <c r="M41">
        <v>3355</v>
      </c>
      <c r="N41" s="7">
        <f>Table32[[#This Row],[Cost]]/Table32[[#This Row],[Units Sold]]</f>
        <v>2</v>
      </c>
      <c r="O41">
        <v>1342</v>
      </c>
      <c r="T41" s="1"/>
    </row>
    <row r="42" spans="1:20">
      <c r="A42">
        <v>3</v>
      </c>
      <c r="B42">
        <v>538134</v>
      </c>
      <c r="C42" t="s">
        <v>10</v>
      </c>
      <c r="D42" s="2">
        <v>1514</v>
      </c>
      <c r="E42" s="1">
        <v>43739</v>
      </c>
      <c r="F42">
        <v>1</v>
      </c>
      <c r="G42">
        <v>10</v>
      </c>
      <c r="H42">
        <v>2019</v>
      </c>
      <c r="I42" s="5">
        <f>(Table32[[#This Row],[Revenue]]/Table32[[#This Row],[Units Sold]])</f>
        <v>5</v>
      </c>
      <c r="J42" s="5">
        <f>Table32[[#This Row],[revenue/unit]]-Table32[[#This Row],[Cost/unit]]</f>
        <v>3</v>
      </c>
      <c r="K42">
        <f>Table32[[#This Row],[Revenue]]-Table32[[#This Row],[Cost]]</f>
        <v>4542</v>
      </c>
      <c r="L42" s="6">
        <f>Table32[[#This Row],[Net Profit]]/Table32[[#This Row],[Cost]]</f>
        <v>1.5</v>
      </c>
      <c r="M42">
        <v>7570</v>
      </c>
      <c r="N42" s="7">
        <f>Table32[[#This Row],[Cost]]/Table32[[#This Row],[Units Sold]]</f>
        <v>2</v>
      </c>
      <c r="O42">
        <v>3028</v>
      </c>
      <c r="T42" s="1"/>
    </row>
    <row r="43" spans="1:20">
      <c r="A43">
        <v>3</v>
      </c>
      <c r="B43">
        <v>697895</v>
      </c>
      <c r="C43" t="s">
        <v>10</v>
      </c>
      <c r="D43" s="2">
        <v>1228</v>
      </c>
      <c r="E43" s="1">
        <v>43739</v>
      </c>
      <c r="F43">
        <v>1</v>
      </c>
      <c r="G43">
        <v>10</v>
      </c>
      <c r="H43">
        <v>2019</v>
      </c>
      <c r="I43" s="5">
        <f>(Table32[[#This Row],[Revenue]]/Table32[[#This Row],[Units Sold]])</f>
        <v>5</v>
      </c>
      <c r="J43" s="5">
        <f>Table32[[#This Row],[revenue/unit]]-Table32[[#This Row],[Cost/unit]]</f>
        <v>3</v>
      </c>
      <c r="K43">
        <f>Table32[[#This Row],[Revenue]]-Table32[[#This Row],[Cost]]</f>
        <v>3684</v>
      </c>
      <c r="L43" s="6">
        <f>Table32[[#This Row],[Net Profit]]/Table32[[#This Row],[Cost]]</f>
        <v>1.5</v>
      </c>
      <c r="M43">
        <v>6140</v>
      </c>
      <c r="N43" s="7">
        <f>Table32[[#This Row],[Cost]]/Table32[[#This Row],[Units Sold]]</f>
        <v>2</v>
      </c>
      <c r="O43">
        <v>2456</v>
      </c>
      <c r="T43" s="1"/>
    </row>
    <row r="44" spans="1:20">
      <c r="A44">
        <v>3</v>
      </c>
      <c r="B44">
        <v>691331</v>
      </c>
      <c r="C44" t="s">
        <v>10</v>
      </c>
      <c r="D44" s="2">
        <v>1389</v>
      </c>
      <c r="E44" s="1">
        <v>43739</v>
      </c>
      <c r="F44">
        <v>1</v>
      </c>
      <c r="G44">
        <v>10</v>
      </c>
      <c r="H44">
        <v>2019</v>
      </c>
      <c r="I44" s="5">
        <f>(Table32[[#This Row],[Revenue]]/Table32[[#This Row],[Units Sold]])</f>
        <v>5</v>
      </c>
      <c r="J44" s="5">
        <f>Table32[[#This Row],[revenue/unit]]-Table32[[#This Row],[Cost/unit]]</f>
        <v>3</v>
      </c>
      <c r="K44">
        <f>Table32[[#This Row],[Revenue]]-Table32[[#This Row],[Cost]]</f>
        <v>4167</v>
      </c>
      <c r="L44" s="6">
        <f>Table32[[#This Row],[Net Profit]]/Table32[[#This Row],[Cost]]</f>
        <v>1.5</v>
      </c>
      <c r="M44">
        <v>6945</v>
      </c>
      <c r="N44" s="7">
        <f>Table32[[#This Row],[Cost]]/Table32[[#This Row],[Units Sold]]</f>
        <v>2</v>
      </c>
      <c r="O44">
        <v>2778</v>
      </c>
      <c r="T44" s="1"/>
    </row>
    <row r="45" spans="1:20">
      <c r="A45">
        <v>1</v>
      </c>
      <c r="B45">
        <v>567484</v>
      </c>
      <c r="C45" t="s">
        <v>10</v>
      </c>
      <c r="D45" s="2">
        <v>704</v>
      </c>
      <c r="E45" s="1">
        <v>43739</v>
      </c>
      <c r="F45">
        <v>1</v>
      </c>
      <c r="G45">
        <v>10</v>
      </c>
      <c r="H45">
        <v>2019</v>
      </c>
      <c r="I45" s="5">
        <f>(Table32[[#This Row],[Revenue]]/Table32[[#This Row],[Units Sold]])</f>
        <v>5</v>
      </c>
      <c r="J45" s="5">
        <f>Table32[[#This Row],[revenue/unit]]-Table32[[#This Row],[Cost/unit]]</f>
        <v>3</v>
      </c>
      <c r="K45">
        <f>Table32[[#This Row],[Revenue]]-Table32[[#This Row],[Cost]]</f>
        <v>2112</v>
      </c>
      <c r="L45" s="6">
        <f>Table32[[#This Row],[Net Profit]]/Table32[[#This Row],[Cost]]</f>
        <v>1.5</v>
      </c>
      <c r="M45">
        <v>3520</v>
      </c>
      <c r="N45" s="7">
        <f>Table32[[#This Row],[Cost]]/Table32[[#This Row],[Units Sold]]</f>
        <v>2</v>
      </c>
      <c r="O45">
        <v>1408</v>
      </c>
      <c r="T45" s="1"/>
    </row>
    <row r="46" spans="1:20">
      <c r="A46">
        <v>3</v>
      </c>
      <c r="B46">
        <v>176592</v>
      </c>
      <c r="C46" t="s">
        <v>10</v>
      </c>
      <c r="D46" s="2">
        <v>2299</v>
      </c>
      <c r="E46" s="1">
        <v>43739</v>
      </c>
      <c r="F46">
        <v>1</v>
      </c>
      <c r="G46">
        <v>10</v>
      </c>
      <c r="H46">
        <v>2019</v>
      </c>
      <c r="I46" s="5">
        <f>(Table32[[#This Row],[Revenue]]/Table32[[#This Row],[Units Sold]])</f>
        <v>5</v>
      </c>
      <c r="J46" s="5">
        <f>Table32[[#This Row],[revenue/unit]]-Table32[[#This Row],[Cost/unit]]</f>
        <v>3</v>
      </c>
      <c r="K46">
        <f>Table32[[#This Row],[Revenue]]-Table32[[#This Row],[Cost]]</f>
        <v>6897</v>
      </c>
      <c r="L46" s="6">
        <f>Table32[[#This Row],[Net Profit]]/Table32[[#This Row],[Cost]]</f>
        <v>1.5</v>
      </c>
      <c r="M46">
        <v>11495</v>
      </c>
      <c r="N46" s="7">
        <f>Table32[[#This Row],[Cost]]/Table32[[#This Row],[Units Sold]]</f>
        <v>2</v>
      </c>
      <c r="O46">
        <v>4598</v>
      </c>
      <c r="T46" s="1"/>
    </row>
    <row r="47" spans="1:20">
      <c r="A47">
        <v>5</v>
      </c>
      <c r="B47">
        <v>758323</v>
      </c>
      <c r="C47" t="s">
        <v>10</v>
      </c>
      <c r="D47" s="2">
        <v>727</v>
      </c>
      <c r="E47" s="1">
        <v>43739</v>
      </c>
      <c r="F47">
        <v>1</v>
      </c>
      <c r="G47">
        <v>10</v>
      </c>
      <c r="H47">
        <v>2019</v>
      </c>
      <c r="I47" s="5">
        <f>(Table32[[#This Row],[Revenue]]/Table32[[#This Row],[Units Sold]])</f>
        <v>5</v>
      </c>
      <c r="J47" s="5">
        <f>Table32[[#This Row],[revenue/unit]]-Table32[[#This Row],[Cost/unit]]</f>
        <v>3</v>
      </c>
      <c r="K47">
        <f>Table32[[#This Row],[Revenue]]-Table32[[#This Row],[Cost]]</f>
        <v>2181</v>
      </c>
      <c r="L47" s="6">
        <f>Table32[[#This Row],[Net Profit]]/Table32[[#This Row],[Cost]]</f>
        <v>1.5</v>
      </c>
      <c r="M47">
        <v>3635</v>
      </c>
      <c r="N47" s="7">
        <f>Table32[[#This Row],[Cost]]/Table32[[#This Row],[Units Sold]]</f>
        <v>2</v>
      </c>
      <c r="O47">
        <v>1454</v>
      </c>
      <c r="T47" s="1"/>
    </row>
    <row r="48" spans="1:20">
      <c r="A48">
        <v>4</v>
      </c>
      <c r="B48">
        <v>676135</v>
      </c>
      <c r="C48" t="s">
        <v>10</v>
      </c>
      <c r="D48" s="2">
        <v>1757</v>
      </c>
      <c r="E48" s="1">
        <v>43739</v>
      </c>
      <c r="F48">
        <v>1</v>
      </c>
      <c r="G48">
        <v>10</v>
      </c>
      <c r="H48">
        <v>2019</v>
      </c>
      <c r="I48" s="5">
        <f>(Table32[[#This Row],[Revenue]]/Table32[[#This Row],[Units Sold]])</f>
        <v>5</v>
      </c>
      <c r="J48" s="5">
        <f>Table32[[#This Row],[revenue/unit]]-Table32[[#This Row],[Cost/unit]]</f>
        <v>3</v>
      </c>
      <c r="K48">
        <f>Table32[[#This Row],[Revenue]]-Table32[[#This Row],[Cost]]</f>
        <v>5271</v>
      </c>
      <c r="L48" s="6">
        <f>Table32[[#This Row],[Net Profit]]/Table32[[#This Row],[Cost]]</f>
        <v>1.5</v>
      </c>
      <c r="M48">
        <v>8785</v>
      </c>
      <c r="N48" s="7">
        <f>Table32[[#This Row],[Cost]]/Table32[[#This Row],[Units Sold]]</f>
        <v>2</v>
      </c>
      <c r="O48">
        <v>3514</v>
      </c>
      <c r="T48" s="1"/>
    </row>
    <row r="49" spans="1:20">
      <c r="A49">
        <v>2</v>
      </c>
      <c r="B49">
        <v>266313</v>
      </c>
      <c r="C49" t="s">
        <v>10</v>
      </c>
      <c r="D49" s="2">
        <v>367</v>
      </c>
      <c r="E49" s="1">
        <v>43739</v>
      </c>
      <c r="F49">
        <v>1</v>
      </c>
      <c r="G49">
        <v>10</v>
      </c>
      <c r="H49">
        <v>2019</v>
      </c>
      <c r="I49" s="5">
        <f>(Table32[[#This Row],[Revenue]]/Table32[[#This Row],[Units Sold]])</f>
        <v>5</v>
      </c>
      <c r="J49" s="5">
        <f>Table32[[#This Row],[revenue/unit]]-Table32[[#This Row],[Cost/unit]]</f>
        <v>3</v>
      </c>
      <c r="K49">
        <f>Table32[[#This Row],[Revenue]]-Table32[[#This Row],[Cost]]</f>
        <v>1101</v>
      </c>
      <c r="L49" s="6">
        <f>Table32[[#This Row],[Net Profit]]/Table32[[#This Row],[Cost]]</f>
        <v>1.5</v>
      </c>
      <c r="M49">
        <v>1835</v>
      </c>
      <c r="N49" s="7">
        <f>Table32[[#This Row],[Cost]]/Table32[[#This Row],[Units Sold]]</f>
        <v>2</v>
      </c>
      <c r="O49">
        <v>734</v>
      </c>
      <c r="T49" s="1"/>
    </row>
    <row r="50" spans="1:20">
      <c r="A50">
        <v>3</v>
      </c>
      <c r="B50">
        <v>686651</v>
      </c>
      <c r="C50" t="s">
        <v>10</v>
      </c>
      <c r="D50" s="2">
        <v>386</v>
      </c>
      <c r="E50" s="1">
        <v>43739</v>
      </c>
      <c r="F50">
        <v>1</v>
      </c>
      <c r="G50">
        <v>10</v>
      </c>
      <c r="H50">
        <v>2019</v>
      </c>
      <c r="I50" s="5">
        <f>(Table32[[#This Row],[Revenue]]/Table32[[#This Row],[Units Sold]])</f>
        <v>5</v>
      </c>
      <c r="J50" s="5">
        <f>Table32[[#This Row],[revenue/unit]]-Table32[[#This Row],[Cost/unit]]</f>
        <v>3</v>
      </c>
      <c r="K50">
        <f>Table32[[#This Row],[Revenue]]-Table32[[#This Row],[Cost]]</f>
        <v>1158</v>
      </c>
      <c r="L50" s="6">
        <f>Table32[[#This Row],[Net Profit]]/Table32[[#This Row],[Cost]]</f>
        <v>1.5</v>
      </c>
      <c r="M50">
        <v>1930</v>
      </c>
      <c r="N50" s="7">
        <f>Table32[[#This Row],[Cost]]/Table32[[#This Row],[Units Sold]]</f>
        <v>2</v>
      </c>
      <c r="O50">
        <v>772</v>
      </c>
      <c r="T50" s="1"/>
    </row>
    <row r="51" spans="1:20">
      <c r="A51">
        <v>3</v>
      </c>
      <c r="B51">
        <v>712767</v>
      </c>
      <c r="C51" t="s">
        <v>10</v>
      </c>
      <c r="D51" s="2">
        <v>2167</v>
      </c>
      <c r="E51" s="1">
        <v>43739</v>
      </c>
      <c r="F51">
        <v>1</v>
      </c>
      <c r="G51">
        <v>10</v>
      </c>
      <c r="H51">
        <v>2019</v>
      </c>
      <c r="I51" s="5">
        <f>(Table32[[#This Row],[Revenue]]/Table32[[#This Row],[Units Sold]])</f>
        <v>5</v>
      </c>
      <c r="J51" s="5">
        <f>Table32[[#This Row],[revenue/unit]]-Table32[[#This Row],[Cost/unit]]</f>
        <v>3</v>
      </c>
      <c r="K51">
        <f>Table32[[#This Row],[Revenue]]-Table32[[#This Row],[Cost]]</f>
        <v>6501</v>
      </c>
      <c r="L51" s="6">
        <f>Table32[[#This Row],[Net Profit]]/Table32[[#This Row],[Cost]]</f>
        <v>1.5</v>
      </c>
      <c r="M51">
        <v>10835</v>
      </c>
      <c r="N51" s="7">
        <f>Table32[[#This Row],[Cost]]/Table32[[#This Row],[Units Sold]]</f>
        <v>2</v>
      </c>
      <c r="O51">
        <v>4334</v>
      </c>
      <c r="T51" s="1"/>
    </row>
    <row r="52" spans="1:20">
      <c r="A52">
        <v>3</v>
      </c>
      <c r="B52">
        <v>294935</v>
      </c>
      <c r="C52" t="s">
        <v>10</v>
      </c>
      <c r="D52" s="2">
        <v>1198</v>
      </c>
      <c r="E52" s="1">
        <v>43739</v>
      </c>
      <c r="F52">
        <v>1</v>
      </c>
      <c r="G52">
        <v>10</v>
      </c>
      <c r="H52">
        <v>2019</v>
      </c>
      <c r="I52" s="5">
        <f>(Table32[[#This Row],[Revenue]]/Table32[[#This Row],[Units Sold]])</f>
        <v>5</v>
      </c>
      <c r="J52" s="5">
        <f>Table32[[#This Row],[revenue/unit]]-Table32[[#This Row],[Cost/unit]]</f>
        <v>3</v>
      </c>
      <c r="K52">
        <f>Table32[[#This Row],[Revenue]]-Table32[[#This Row],[Cost]]</f>
        <v>3594</v>
      </c>
      <c r="L52" s="6">
        <f>Table32[[#This Row],[Net Profit]]/Table32[[#This Row],[Cost]]</f>
        <v>1.5</v>
      </c>
      <c r="M52">
        <v>5990</v>
      </c>
      <c r="N52" s="7">
        <f>Table32[[#This Row],[Cost]]/Table32[[#This Row],[Units Sold]]</f>
        <v>2</v>
      </c>
      <c r="O52">
        <v>2396</v>
      </c>
      <c r="T52" s="1"/>
    </row>
    <row r="53" spans="1:20">
      <c r="A53">
        <v>2</v>
      </c>
      <c r="B53">
        <v>440377</v>
      </c>
      <c r="C53" t="s">
        <v>10</v>
      </c>
      <c r="D53" s="2">
        <v>2992</v>
      </c>
      <c r="E53" s="1">
        <v>43739</v>
      </c>
      <c r="F53">
        <v>1</v>
      </c>
      <c r="G53">
        <v>10</v>
      </c>
      <c r="H53">
        <v>2019</v>
      </c>
      <c r="I53" s="5">
        <f>(Table32[[#This Row],[Revenue]]/Table32[[#This Row],[Units Sold]])</f>
        <v>5</v>
      </c>
      <c r="J53" s="5">
        <f>Table32[[#This Row],[revenue/unit]]-Table32[[#This Row],[Cost/unit]]</f>
        <v>3</v>
      </c>
      <c r="K53">
        <f>Table32[[#This Row],[Revenue]]-Table32[[#This Row],[Cost]]</f>
        <v>8976</v>
      </c>
      <c r="L53" s="6">
        <f>Table32[[#This Row],[Net Profit]]/Table32[[#This Row],[Cost]]</f>
        <v>1.5</v>
      </c>
      <c r="M53">
        <v>14960</v>
      </c>
      <c r="N53" s="7">
        <f>Table32[[#This Row],[Cost]]/Table32[[#This Row],[Units Sold]]</f>
        <v>2</v>
      </c>
      <c r="O53">
        <v>5984</v>
      </c>
      <c r="T53" s="1"/>
    </row>
    <row r="54" spans="1:20">
      <c r="A54">
        <v>2</v>
      </c>
      <c r="B54">
        <v>885201</v>
      </c>
      <c r="C54" t="s">
        <v>10</v>
      </c>
      <c r="D54" s="2">
        <v>1715</v>
      </c>
      <c r="E54" s="1">
        <v>43739</v>
      </c>
      <c r="F54">
        <v>1</v>
      </c>
      <c r="G54">
        <v>10</v>
      </c>
      <c r="H54">
        <v>2019</v>
      </c>
      <c r="I54" s="5">
        <f>(Table32[[#This Row],[Revenue]]/Table32[[#This Row],[Units Sold]])</f>
        <v>5</v>
      </c>
      <c r="J54" s="5">
        <f>Table32[[#This Row],[revenue/unit]]-Table32[[#This Row],[Cost/unit]]</f>
        <v>3</v>
      </c>
      <c r="K54">
        <f>Table32[[#This Row],[Revenue]]-Table32[[#This Row],[Cost]]</f>
        <v>5145</v>
      </c>
      <c r="L54" s="6">
        <f>Table32[[#This Row],[Net Profit]]/Table32[[#This Row],[Cost]]</f>
        <v>1.5</v>
      </c>
      <c r="M54">
        <v>8575</v>
      </c>
      <c r="N54" s="7">
        <f>Table32[[#This Row],[Cost]]/Table32[[#This Row],[Units Sold]]</f>
        <v>2</v>
      </c>
      <c r="O54">
        <v>3430</v>
      </c>
      <c r="T54" s="1"/>
    </row>
    <row r="55" spans="1:20">
      <c r="A55">
        <v>2</v>
      </c>
      <c r="B55">
        <v>520865</v>
      </c>
      <c r="C55" t="s">
        <v>10</v>
      </c>
      <c r="D55" s="2">
        <v>1743</v>
      </c>
      <c r="E55" s="1">
        <v>43739</v>
      </c>
      <c r="F55">
        <v>1</v>
      </c>
      <c r="G55">
        <v>10</v>
      </c>
      <c r="H55">
        <v>2019</v>
      </c>
      <c r="I55" s="5">
        <f>(Table32[[#This Row],[Revenue]]/Table32[[#This Row],[Units Sold]])</f>
        <v>5</v>
      </c>
      <c r="J55" s="5">
        <f>Table32[[#This Row],[revenue/unit]]-Table32[[#This Row],[Cost/unit]]</f>
        <v>3</v>
      </c>
      <c r="K55">
        <f>Table32[[#This Row],[Revenue]]-Table32[[#This Row],[Cost]]</f>
        <v>5229</v>
      </c>
      <c r="L55" s="6">
        <f>Table32[[#This Row],[Net Profit]]/Table32[[#This Row],[Cost]]</f>
        <v>1.5</v>
      </c>
      <c r="M55">
        <v>8715</v>
      </c>
      <c r="N55" s="7">
        <f>Table32[[#This Row],[Cost]]/Table32[[#This Row],[Units Sold]]</f>
        <v>2</v>
      </c>
      <c r="O55">
        <v>3486</v>
      </c>
      <c r="T55" s="1"/>
    </row>
    <row r="56" spans="1:20">
      <c r="A56">
        <v>3</v>
      </c>
      <c r="B56">
        <v>609851</v>
      </c>
      <c r="C56" t="s">
        <v>10</v>
      </c>
      <c r="D56" s="2">
        <v>267</v>
      </c>
      <c r="E56" s="1">
        <v>43739</v>
      </c>
      <c r="F56">
        <v>1</v>
      </c>
      <c r="G56">
        <v>10</v>
      </c>
      <c r="H56">
        <v>2019</v>
      </c>
      <c r="I56" s="5">
        <f>(Table32[[#This Row],[Revenue]]/Table32[[#This Row],[Units Sold]])</f>
        <v>5</v>
      </c>
      <c r="J56" s="5">
        <f>Table32[[#This Row],[revenue/unit]]-Table32[[#This Row],[Cost/unit]]</f>
        <v>3</v>
      </c>
      <c r="K56">
        <f>Table32[[#This Row],[Revenue]]-Table32[[#This Row],[Cost]]</f>
        <v>801</v>
      </c>
      <c r="L56" s="6">
        <f>Table32[[#This Row],[Net Profit]]/Table32[[#This Row],[Cost]]</f>
        <v>1.5</v>
      </c>
      <c r="M56">
        <v>1335</v>
      </c>
      <c r="N56" s="7">
        <f>Table32[[#This Row],[Cost]]/Table32[[#This Row],[Units Sold]]</f>
        <v>2</v>
      </c>
      <c r="O56">
        <v>534</v>
      </c>
      <c r="T56" s="1"/>
    </row>
    <row r="57" spans="1:20">
      <c r="A57">
        <v>5</v>
      </c>
      <c r="B57">
        <v>439030</v>
      </c>
      <c r="C57" t="s">
        <v>11</v>
      </c>
      <c r="D57" s="2">
        <v>345</v>
      </c>
      <c r="E57" s="1">
        <v>43739</v>
      </c>
      <c r="F57">
        <v>1</v>
      </c>
      <c r="G57">
        <v>10</v>
      </c>
      <c r="H57">
        <v>2019</v>
      </c>
      <c r="I57" s="5">
        <f>(Table32[[#This Row],[Revenue]]/Table32[[#This Row],[Units Sold]])</f>
        <v>1</v>
      </c>
      <c r="J57" s="5">
        <f>Table32[[#This Row],[revenue/unit]]-Table32[[#This Row],[Cost/unit]]</f>
        <v>0.5</v>
      </c>
      <c r="K57">
        <f>Table32[[#This Row],[Revenue]]-Table32[[#This Row],[Cost]]</f>
        <v>172.5</v>
      </c>
      <c r="L57" s="6">
        <f>Table32[[#This Row],[Net Profit]]/Table32[[#This Row],[Cost]]</f>
        <v>1</v>
      </c>
      <c r="M57">
        <v>345</v>
      </c>
      <c r="N57" s="7">
        <f>Table32[[#This Row],[Cost]]/Table32[[#This Row],[Units Sold]]</f>
        <v>0.5</v>
      </c>
      <c r="O57">
        <v>172.5</v>
      </c>
      <c r="T57" s="1"/>
    </row>
    <row r="58" spans="1:20">
      <c r="A58">
        <v>5</v>
      </c>
      <c r="B58">
        <v>625570</v>
      </c>
      <c r="C58" t="s">
        <v>11</v>
      </c>
      <c r="D58" s="2">
        <v>663</v>
      </c>
      <c r="E58" s="1">
        <v>43739</v>
      </c>
      <c r="F58">
        <v>1</v>
      </c>
      <c r="G58">
        <v>10</v>
      </c>
      <c r="H58">
        <v>2019</v>
      </c>
      <c r="I58" s="5">
        <f>(Table32[[#This Row],[Revenue]]/Table32[[#This Row],[Units Sold]])</f>
        <v>1</v>
      </c>
      <c r="J58" s="5">
        <f>Table32[[#This Row],[revenue/unit]]-Table32[[#This Row],[Cost/unit]]</f>
        <v>0.5</v>
      </c>
      <c r="K58">
        <f>Table32[[#This Row],[Revenue]]-Table32[[#This Row],[Cost]]</f>
        <v>331.5</v>
      </c>
      <c r="L58" s="6">
        <f>Table32[[#This Row],[Net Profit]]/Table32[[#This Row],[Cost]]</f>
        <v>1</v>
      </c>
      <c r="M58">
        <v>663</v>
      </c>
      <c r="N58" s="7">
        <f>Table32[[#This Row],[Cost]]/Table32[[#This Row],[Units Sold]]</f>
        <v>0.5</v>
      </c>
      <c r="O58">
        <v>331.5</v>
      </c>
      <c r="T58" s="1"/>
    </row>
    <row r="59" spans="1:20">
      <c r="A59">
        <v>3</v>
      </c>
      <c r="B59">
        <v>873031</v>
      </c>
      <c r="C59" t="s">
        <v>11</v>
      </c>
      <c r="D59" s="2">
        <v>2851</v>
      </c>
      <c r="E59" s="1">
        <v>43739</v>
      </c>
      <c r="F59">
        <v>1</v>
      </c>
      <c r="G59">
        <v>10</v>
      </c>
      <c r="H59">
        <v>2019</v>
      </c>
      <c r="I59" s="5">
        <f>(Table32[[#This Row],[Revenue]]/Table32[[#This Row],[Units Sold]])</f>
        <v>1</v>
      </c>
      <c r="J59" s="5">
        <f>Table32[[#This Row],[revenue/unit]]-Table32[[#This Row],[Cost/unit]]</f>
        <v>0.5</v>
      </c>
      <c r="K59">
        <f>Table32[[#This Row],[Revenue]]-Table32[[#This Row],[Cost]]</f>
        <v>1425.5</v>
      </c>
      <c r="L59" s="6">
        <f>Table32[[#This Row],[Net Profit]]/Table32[[#This Row],[Cost]]</f>
        <v>1</v>
      </c>
      <c r="M59">
        <v>2851</v>
      </c>
      <c r="N59" s="7">
        <f>Table32[[#This Row],[Cost]]/Table32[[#This Row],[Units Sold]]</f>
        <v>0.5</v>
      </c>
      <c r="O59">
        <v>1425.5</v>
      </c>
      <c r="T59" s="1"/>
    </row>
    <row r="60" spans="1:20">
      <c r="A60">
        <v>3</v>
      </c>
      <c r="B60">
        <v>150704</v>
      </c>
      <c r="C60" t="s">
        <v>11</v>
      </c>
      <c r="D60" s="2">
        <v>1159</v>
      </c>
      <c r="E60" s="1">
        <v>43739</v>
      </c>
      <c r="F60">
        <v>1</v>
      </c>
      <c r="G60">
        <v>10</v>
      </c>
      <c r="H60">
        <v>2019</v>
      </c>
      <c r="I60" s="5">
        <f>(Table32[[#This Row],[Revenue]]/Table32[[#This Row],[Units Sold]])</f>
        <v>1</v>
      </c>
      <c r="J60" s="5">
        <f>Table32[[#This Row],[revenue/unit]]-Table32[[#This Row],[Cost/unit]]</f>
        <v>0.5</v>
      </c>
      <c r="K60">
        <f>Table32[[#This Row],[Revenue]]-Table32[[#This Row],[Cost]]</f>
        <v>579.5</v>
      </c>
      <c r="L60" s="6">
        <f>Table32[[#This Row],[Net Profit]]/Table32[[#This Row],[Cost]]</f>
        <v>1</v>
      </c>
      <c r="M60">
        <v>1159</v>
      </c>
      <c r="N60" s="7">
        <f>Table32[[#This Row],[Cost]]/Table32[[#This Row],[Units Sold]]</f>
        <v>0.5</v>
      </c>
      <c r="O60">
        <v>579.5</v>
      </c>
      <c r="T60" s="1"/>
    </row>
    <row r="61" spans="1:20">
      <c r="A61">
        <v>4</v>
      </c>
      <c r="B61">
        <v>294390</v>
      </c>
      <c r="C61" t="s">
        <v>11</v>
      </c>
      <c r="D61" s="2">
        <v>1403</v>
      </c>
      <c r="E61" s="1">
        <v>43739</v>
      </c>
      <c r="F61">
        <v>1</v>
      </c>
      <c r="G61">
        <v>10</v>
      </c>
      <c r="H61">
        <v>2019</v>
      </c>
      <c r="I61" s="5">
        <f>(Table32[[#This Row],[Revenue]]/Table32[[#This Row],[Units Sold]])</f>
        <v>1</v>
      </c>
      <c r="J61" s="5">
        <f>Table32[[#This Row],[revenue/unit]]-Table32[[#This Row],[Cost/unit]]</f>
        <v>0.5</v>
      </c>
      <c r="K61">
        <f>Table32[[#This Row],[Revenue]]-Table32[[#This Row],[Cost]]</f>
        <v>701.5</v>
      </c>
      <c r="L61" s="6">
        <f>Table32[[#This Row],[Net Profit]]/Table32[[#This Row],[Cost]]</f>
        <v>1</v>
      </c>
      <c r="M61">
        <v>1403</v>
      </c>
      <c r="N61" s="7">
        <f>Table32[[#This Row],[Cost]]/Table32[[#This Row],[Units Sold]]</f>
        <v>0.5</v>
      </c>
      <c r="O61">
        <v>701.5</v>
      </c>
      <c r="T61" s="1"/>
    </row>
    <row r="62" spans="1:20">
      <c r="A62">
        <v>3</v>
      </c>
      <c r="B62">
        <v>215754</v>
      </c>
      <c r="C62" t="s">
        <v>11</v>
      </c>
      <c r="D62" s="2">
        <v>1757</v>
      </c>
      <c r="E62" s="1">
        <v>43739</v>
      </c>
      <c r="F62">
        <v>1</v>
      </c>
      <c r="G62">
        <v>10</v>
      </c>
      <c r="H62">
        <v>2019</v>
      </c>
      <c r="I62" s="5">
        <f>(Table32[[#This Row],[Revenue]]/Table32[[#This Row],[Units Sold]])</f>
        <v>1</v>
      </c>
      <c r="J62" s="5">
        <f>Table32[[#This Row],[revenue/unit]]-Table32[[#This Row],[Cost/unit]]</f>
        <v>0.5</v>
      </c>
      <c r="K62">
        <f>Table32[[#This Row],[Revenue]]-Table32[[#This Row],[Cost]]</f>
        <v>878.5</v>
      </c>
      <c r="L62" s="6">
        <f>Table32[[#This Row],[Net Profit]]/Table32[[#This Row],[Cost]]</f>
        <v>1</v>
      </c>
      <c r="M62">
        <v>1757</v>
      </c>
      <c r="N62" s="7">
        <f>Table32[[#This Row],[Cost]]/Table32[[#This Row],[Units Sold]]</f>
        <v>0.5</v>
      </c>
      <c r="O62">
        <v>878.5</v>
      </c>
      <c r="T62" s="1"/>
    </row>
    <row r="63" spans="1:20">
      <c r="A63">
        <v>5</v>
      </c>
      <c r="B63">
        <v>644686</v>
      </c>
      <c r="C63" t="s">
        <v>11</v>
      </c>
      <c r="D63" s="2">
        <v>2992</v>
      </c>
      <c r="E63" s="1">
        <v>43739</v>
      </c>
      <c r="F63">
        <v>1</v>
      </c>
      <c r="G63">
        <v>10</v>
      </c>
      <c r="H63">
        <v>2019</v>
      </c>
      <c r="I63" s="5">
        <f>(Table32[[#This Row],[Revenue]]/Table32[[#This Row],[Units Sold]])</f>
        <v>1</v>
      </c>
      <c r="J63" s="5">
        <f>Table32[[#This Row],[revenue/unit]]-Table32[[#This Row],[Cost/unit]]</f>
        <v>0.5</v>
      </c>
      <c r="K63">
        <f>Table32[[#This Row],[Revenue]]-Table32[[#This Row],[Cost]]</f>
        <v>1496</v>
      </c>
      <c r="L63" s="6">
        <f>Table32[[#This Row],[Net Profit]]/Table32[[#This Row],[Cost]]</f>
        <v>1</v>
      </c>
      <c r="M63">
        <v>2992</v>
      </c>
      <c r="N63" s="7">
        <f>Table32[[#This Row],[Cost]]/Table32[[#This Row],[Units Sold]]</f>
        <v>0.5</v>
      </c>
      <c r="O63">
        <v>1496</v>
      </c>
      <c r="T63" s="1"/>
    </row>
    <row r="64" spans="1:20">
      <c r="A64">
        <v>2</v>
      </c>
      <c r="B64">
        <v>347412</v>
      </c>
      <c r="C64" t="s">
        <v>11</v>
      </c>
      <c r="D64" s="2">
        <v>1715</v>
      </c>
      <c r="E64" s="1">
        <v>43739</v>
      </c>
      <c r="F64">
        <v>1</v>
      </c>
      <c r="G64">
        <v>10</v>
      </c>
      <c r="H64">
        <v>2019</v>
      </c>
      <c r="I64" s="5">
        <f>(Table32[[#This Row],[Revenue]]/Table32[[#This Row],[Units Sold]])</f>
        <v>1</v>
      </c>
      <c r="J64" s="5">
        <f>Table32[[#This Row],[revenue/unit]]-Table32[[#This Row],[Cost/unit]]</f>
        <v>0.5</v>
      </c>
      <c r="K64">
        <f>Table32[[#This Row],[Revenue]]-Table32[[#This Row],[Cost]]</f>
        <v>857.5</v>
      </c>
      <c r="L64" s="6">
        <f>Table32[[#This Row],[Net Profit]]/Table32[[#This Row],[Cost]]</f>
        <v>1</v>
      </c>
      <c r="M64">
        <v>1715</v>
      </c>
      <c r="N64" s="7">
        <f>Table32[[#This Row],[Cost]]/Table32[[#This Row],[Units Sold]]</f>
        <v>0.5</v>
      </c>
      <c r="O64">
        <v>857.5</v>
      </c>
      <c r="T64" s="1"/>
    </row>
    <row r="65" spans="1:20">
      <c r="A65">
        <v>3</v>
      </c>
      <c r="B65">
        <v>295198</v>
      </c>
      <c r="C65" t="s">
        <v>11</v>
      </c>
      <c r="D65" s="2">
        <v>2996</v>
      </c>
      <c r="E65" s="1">
        <v>43739</v>
      </c>
      <c r="F65">
        <v>1</v>
      </c>
      <c r="G65">
        <v>10</v>
      </c>
      <c r="H65">
        <v>2019</v>
      </c>
      <c r="I65" s="5">
        <f>(Table32[[#This Row],[Revenue]]/Table32[[#This Row],[Units Sold]])</f>
        <v>1</v>
      </c>
      <c r="J65" s="5">
        <f>Table32[[#This Row],[revenue/unit]]-Table32[[#This Row],[Cost/unit]]</f>
        <v>0.5</v>
      </c>
      <c r="K65">
        <f>Table32[[#This Row],[Revenue]]-Table32[[#This Row],[Cost]]</f>
        <v>1498</v>
      </c>
      <c r="L65" s="6">
        <f>Table32[[#This Row],[Net Profit]]/Table32[[#This Row],[Cost]]</f>
        <v>1</v>
      </c>
      <c r="M65">
        <v>2996</v>
      </c>
      <c r="N65" s="7">
        <f>Table32[[#This Row],[Cost]]/Table32[[#This Row],[Units Sold]]</f>
        <v>0.5</v>
      </c>
      <c r="O65">
        <v>1498</v>
      </c>
      <c r="T65" s="1"/>
    </row>
    <row r="66" spans="1:20">
      <c r="A66">
        <v>4</v>
      </c>
      <c r="B66">
        <v>164574</v>
      </c>
      <c r="C66" t="s">
        <v>11</v>
      </c>
      <c r="D66" s="2">
        <v>1727</v>
      </c>
      <c r="E66" s="1">
        <v>43739</v>
      </c>
      <c r="F66">
        <v>1</v>
      </c>
      <c r="G66">
        <v>10</v>
      </c>
      <c r="H66">
        <v>2019</v>
      </c>
      <c r="I66" s="5">
        <f>(Table32[[#This Row],[Revenue]]/Table32[[#This Row],[Units Sold]])</f>
        <v>1</v>
      </c>
      <c r="J66" s="5">
        <f>Table32[[#This Row],[revenue/unit]]-Table32[[#This Row],[Cost/unit]]</f>
        <v>0.5</v>
      </c>
      <c r="K66">
        <f>Table32[[#This Row],[Revenue]]-Table32[[#This Row],[Cost]]</f>
        <v>863.5</v>
      </c>
      <c r="L66" s="6">
        <f>Table32[[#This Row],[Net Profit]]/Table32[[#This Row],[Cost]]</f>
        <v>1</v>
      </c>
      <c r="M66">
        <v>1727</v>
      </c>
      <c r="N66" s="7">
        <f>Table32[[#This Row],[Cost]]/Table32[[#This Row],[Units Sold]]</f>
        <v>0.5</v>
      </c>
      <c r="O66">
        <v>863.5</v>
      </c>
      <c r="T66" s="1"/>
    </row>
    <row r="67" spans="1:20">
      <c r="A67">
        <v>3</v>
      </c>
      <c r="B67">
        <v>253215</v>
      </c>
      <c r="C67" t="s">
        <v>12</v>
      </c>
      <c r="D67" s="2">
        <v>2966</v>
      </c>
      <c r="E67" s="1">
        <v>43739</v>
      </c>
      <c r="F67">
        <v>1</v>
      </c>
      <c r="G67">
        <v>10</v>
      </c>
      <c r="H67">
        <v>2019</v>
      </c>
      <c r="I67" s="5">
        <f>(Table32[[#This Row],[Revenue]]/Table32[[#This Row],[Units Sold]])</f>
        <v>5</v>
      </c>
      <c r="J67" s="5">
        <f>Table32[[#This Row],[revenue/unit]]-Table32[[#This Row],[Cost/unit]]</f>
        <v>2.8</v>
      </c>
      <c r="K67">
        <f>Table32[[#This Row],[Revenue]]-Table32[[#This Row],[Cost]]</f>
        <v>8304.7999999999993</v>
      </c>
      <c r="L67" s="6">
        <f>Table32[[#This Row],[Net Profit]]/Table32[[#This Row],[Cost]]</f>
        <v>1.2727272727272725</v>
      </c>
      <c r="M67">
        <v>14830</v>
      </c>
      <c r="N67" s="7">
        <f>Table32[[#This Row],[Cost]]/Table32[[#This Row],[Units Sold]]</f>
        <v>2.2000000000000002</v>
      </c>
      <c r="O67">
        <v>6525.2000000000007</v>
      </c>
      <c r="T67" s="1"/>
    </row>
    <row r="68" spans="1:20">
      <c r="A68">
        <v>4</v>
      </c>
      <c r="B68">
        <v>397008</v>
      </c>
      <c r="C68" t="s">
        <v>12</v>
      </c>
      <c r="D68" s="2">
        <v>671</v>
      </c>
      <c r="E68" s="1">
        <v>43739</v>
      </c>
      <c r="F68">
        <v>1</v>
      </c>
      <c r="G68">
        <v>10</v>
      </c>
      <c r="H68">
        <v>2019</v>
      </c>
      <c r="I68" s="5">
        <f>(Table32[[#This Row],[Revenue]]/Table32[[#This Row],[Units Sold]])</f>
        <v>5</v>
      </c>
      <c r="J68" s="5">
        <f>Table32[[#This Row],[revenue/unit]]-Table32[[#This Row],[Cost/unit]]</f>
        <v>2.8</v>
      </c>
      <c r="K68">
        <f>Table32[[#This Row],[Revenue]]-Table32[[#This Row],[Cost]]</f>
        <v>1878.8</v>
      </c>
      <c r="L68" s="6">
        <f>Table32[[#This Row],[Net Profit]]/Table32[[#This Row],[Cost]]</f>
        <v>1.2727272727272727</v>
      </c>
      <c r="M68">
        <v>3355</v>
      </c>
      <c r="N68" s="7">
        <f>Table32[[#This Row],[Cost]]/Table32[[#This Row],[Units Sold]]</f>
        <v>2.2000000000000002</v>
      </c>
      <c r="O68">
        <v>1476.2</v>
      </c>
      <c r="T68" s="1"/>
    </row>
    <row r="69" spans="1:20">
      <c r="A69">
        <v>3</v>
      </c>
      <c r="B69">
        <v>151329</v>
      </c>
      <c r="C69" t="s">
        <v>12</v>
      </c>
      <c r="D69" s="2">
        <v>1159</v>
      </c>
      <c r="E69" s="1">
        <v>43739</v>
      </c>
      <c r="F69">
        <v>1</v>
      </c>
      <c r="G69">
        <v>10</v>
      </c>
      <c r="H69">
        <v>2019</v>
      </c>
      <c r="I69" s="5">
        <f>(Table32[[#This Row],[Revenue]]/Table32[[#This Row],[Units Sold]])</f>
        <v>5</v>
      </c>
      <c r="J69" s="5">
        <f>Table32[[#This Row],[revenue/unit]]-Table32[[#This Row],[Cost/unit]]</f>
        <v>2.8</v>
      </c>
      <c r="K69">
        <f>Table32[[#This Row],[Revenue]]-Table32[[#This Row],[Cost]]</f>
        <v>3245.2</v>
      </c>
      <c r="L69" s="6">
        <f>Table32[[#This Row],[Net Profit]]/Table32[[#This Row],[Cost]]</f>
        <v>1.2727272727272725</v>
      </c>
      <c r="M69">
        <v>5795</v>
      </c>
      <c r="N69" s="7">
        <f>Table32[[#This Row],[Cost]]/Table32[[#This Row],[Units Sold]]</f>
        <v>2.2000000000000002</v>
      </c>
      <c r="O69">
        <v>2549.8000000000002</v>
      </c>
      <c r="T69" s="1"/>
    </row>
    <row r="70" spans="1:20">
      <c r="A70">
        <v>3</v>
      </c>
      <c r="B70">
        <v>117166</v>
      </c>
      <c r="C70" t="s">
        <v>12</v>
      </c>
      <c r="D70" s="2">
        <v>1228</v>
      </c>
      <c r="E70" s="1">
        <v>43739</v>
      </c>
      <c r="F70">
        <v>1</v>
      </c>
      <c r="G70">
        <v>10</v>
      </c>
      <c r="H70">
        <v>2019</v>
      </c>
      <c r="I70" s="5">
        <f>(Table32[[#This Row],[Revenue]]/Table32[[#This Row],[Units Sold]])</f>
        <v>5</v>
      </c>
      <c r="J70" s="5">
        <f>Table32[[#This Row],[revenue/unit]]-Table32[[#This Row],[Cost/unit]]</f>
        <v>2.8</v>
      </c>
      <c r="K70">
        <f>Table32[[#This Row],[Revenue]]-Table32[[#This Row],[Cost]]</f>
        <v>3438.3999999999996</v>
      </c>
      <c r="L70" s="6">
        <f>Table32[[#This Row],[Net Profit]]/Table32[[#This Row],[Cost]]</f>
        <v>1.2727272727272725</v>
      </c>
      <c r="M70">
        <v>6140</v>
      </c>
      <c r="N70" s="7">
        <f>Table32[[#This Row],[Cost]]/Table32[[#This Row],[Units Sold]]</f>
        <v>2.2000000000000002</v>
      </c>
      <c r="O70">
        <v>2701.6000000000004</v>
      </c>
      <c r="T70" s="1"/>
    </row>
    <row r="71" spans="1:20">
      <c r="A71">
        <v>3</v>
      </c>
      <c r="B71">
        <v>698573</v>
      </c>
      <c r="C71" t="s">
        <v>12</v>
      </c>
      <c r="D71" s="2">
        <v>727</v>
      </c>
      <c r="E71" s="1">
        <v>43739</v>
      </c>
      <c r="F71">
        <v>1</v>
      </c>
      <c r="G71">
        <v>10</v>
      </c>
      <c r="H71">
        <v>2019</v>
      </c>
      <c r="I71" s="5">
        <f>(Table32[[#This Row],[Revenue]]/Table32[[#This Row],[Units Sold]])</f>
        <v>5</v>
      </c>
      <c r="J71" s="5">
        <f>Table32[[#This Row],[revenue/unit]]-Table32[[#This Row],[Cost/unit]]</f>
        <v>2.8</v>
      </c>
      <c r="K71">
        <f>Table32[[#This Row],[Revenue]]-Table32[[#This Row],[Cost]]</f>
        <v>2035.6</v>
      </c>
      <c r="L71" s="6">
        <f>Table32[[#This Row],[Net Profit]]/Table32[[#This Row],[Cost]]</f>
        <v>1.2727272727272727</v>
      </c>
      <c r="M71">
        <v>3635</v>
      </c>
      <c r="N71" s="7">
        <f>Table32[[#This Row],[Cost]]/Table32[[#This Row],[Units Sold]]</f>
        <v>2.2000000000000002</v>
      </c>
      <c r="O71">
        <v>1599.4</v>
      </c>
      <c r="T71" s="1"/>
    </row>
    <row r="72" spans="1:20">
      <c r="A72">
        <v>3</v>
      </c>
      <c r="B72">
        <v>504962</v>
      </c>
      <c r="C72" t="s">
        <v>12</v>
      </c>
      <c r="D72" s="2">
        <v>1403</v>
      </c>
      <c r="E72" s="1">
        <v>43739</v>
      </c>
      <c r="F72">
        <v>1</v>
      </c>
      <c r="G72">
        <v>10</v>
      </c>
      <c r="H72">
        <v>2019</v>
      </c>
      <c r="I72" s="5">
        <f>(Table32[[#This Row],[Revenue]]/Table32[[#This Row],[Units Sold]])</f>
        <v>5</v>
      </c>
      <c r="J72" s="5">
        <f>Table32[[#This Row],[revenue/unit]]-Table32[[#This Row],[Cost/unit]]</f>
        <v>2.8</v>
      </c>
      <c r="K72">
        <f>Table32[[#This Row],[Revenue]]-Table32[[#This Row],[Cost]]</f>
        <v>3928.3999999999996</v>
      </c>
      <c r="L72" s="6">
        <f>Table32[[#This Row],[Net Profit]]/Table32[[#This Row],[Cost]]</f>
        <v>1.2727272727272725</v>
      </c>
      <c r="M72">
        <v>7015</v>
      </c>
      <c r="N72" s="7">
        <f>Table32[[#This Row],[Cost]]/Table32[[#This Row],[Units Sold]]</f>
        <v>2.2000000000000002</v>
      </c>
      <c r="O72">
        <v>3086.6000000000004</v>
      </c>
      <c r="T72" s="1"/>
    </row>
    <row r="73" spans="1:20">
      <c r="A73">
        <v>3</v>
      </c>
      <c r="B73">
        <v>657776</v>
      </c>
      <c r="C73" t="s">
        <v>12</v>
      </c>
      <c r="D73" s="2">
        <v>2076</v>
      </c>
      <c r="E73" s="1">
        <v>43739</v>
      </c>
      <c r="F73">
        <v>1</v>
      </c>
      <c r="G73">
        <v>10</v>
      </c>
      <c r="H73">
        <v>2019</v>
      </c>
      <c r="I73" s="5">
        <f>(Table32[[#This Row],[Revenue]]/Table32[[#This Row],[Units Sold]])</f>
        <v>5</v>
      </c>
      <c r="J73" s="5">
        <f>Table32[[#This Row],[revenue/unit]]-Table32[[#This Row],[Cost/unit]]</f>
        <v>2.8</v>
      </c>
      <c r="K73">
        <f>Table32[[#This Row],[Revenue]]-Table32[[#This Row],[Cost]]</f>
        <v>5812.7999999999993</v>
      </c>
      <c r="L73" s="6">
        <f>Table32[[#This Row],[Net Profit]]/Table32[[#This Row],[Cost]]</f>
        <v>1.2727272727272723</v>
      </c>
      <c r="M73">
        <v>10380</v>
      </c>
      <c r="N73" s="7">
        <f>Table32[[#This Row],[Cost]]/Table32[[#This Row],[Units Sold]]</f>
        <v>2.2000000000000002</v>
      </c>
      <c r="O73">
        <v>4567.2000000000007</v>
      </c>
      <c r="T73" s="1"/>
    </row>
    <row r="74" spans="1:20">
      <c r="A74">
        <v>1</v>
      </c>
      <c r="B74">
        <v>423355</v>
      </c>
      <c r="C74" t="s">
        <v>12</v>
      </c>
      <c r="D74" s="2">
        <v>344</v>
      </c>
      <c r="E74" s="1">
        <v>43739</v>
      </c>
      <c r="F74">
        <v>1</v>
      </c>
      <c r="G74">
        <v>10</v>
      </c>
      <c r="H74">
        <v>2019</v>
      </c>
      <c r="I74" s="5">
        <f>(Table32[[#This Row],[Revenue]]/Table32[[#This Row],[Units Sold]])</f>
        <v>5</v>
      </c>
      <c r="J74" s="5">
        <f>Table32[[#This Row],[revenue/unit]]-Table32[[#This Row],[Cost/unit]]</f>
        <v>2.8</v>
      </c>
      <c r="K74">
        <f>Table32[[#This Row],[Revenue]]-Table32[[#This Row],[Cost]]</f>
        <v>963.19999999999993</v>
      </c>
      <c r="L74" s="6">
        <f>Table32[[#This Row],[Net Profit]]/Table32[[#This Row],[Cost]]</f>
        <v>1.2727272727272725</v>
      </c>
      <c r="M74">
        <v>1720</v>
      </c>
      <c r="N74" s="7">
        <f>Table32[[#This Row],[Cost]]/Table32[[#This Row],[Units Sold]]</f>
        <v>2.2000000000000002</v>
      </c>
      <c r="O74">
        <v>756.80000000000007</v>
      </c>
      <c r="T74" s="1"/>
    </row>
    <row r="75" spans="1:20">
      <c r="A75">
        <v>5</v>
      </c>
      <c r="B75">
        <v>594129</v>
      </c>
      <c r="C75" t="s">
        <v>12</v>
      </c>
      <c r="D75" s="2">
        <v>1743</v>
      </c>
      <c r="E75" s="1">
        <v>43739</v>
      </c>
      <c r="F75">
        <v>1</v>
      </c>
      <c r="G75">
        <v>10</v>
      </c>
      <c r="H75">
        <v>2019</v>
      </c>
      <c r="I75" s="5">
        <f>(Table32[[#This Row],[Revenue]]/Table32[[#This Row],[Units Sold]])</f>
        <v>5</v>
      </c>
      <c r="J75" s="5">
        <f>Table32[[#This Row],[revenue/unit]]-Table32[[#This Row],[Cost/unit]]</f>
        <v>2.8</v>
      </c>
      <c r="K75">
        <f>Table32[[#This Row],[Revenue]]-Table32[[#This Row],[Cost]]</f>
        <v>4880.3999999999996</v>
      </c>
      <c r="L75" s="6">
        <f>Table32[[#This Row],[Net Profit]]/Table32[[#This Row],[Cost]]</f>
        <v>1.2727272727272725</v>
      </c>
      <c r="M75">
        <v>8715</v>
      </c>
      <c r="N75" s="7">
        <f>Table32[[#This Row],[Cost]]/Table32[[#This Row],[Units Sold]]</f>
        <v>2.2000000000000002</v>
      </c>
      <c r="O75">
        <v>3834.6000000000004</v>
      </c>
      <c r="T75" s="1"/>
    </row>
    <row r="76" spans="1:20">
      <c r="A76">
        <v>1</v>
      </c>
      <c r="B76">
        <v>225353</v>
      </c>
      <c r="C76" t="s">
        <v>12</v>
      </c>
      <c r="D76" s="2">
        <v>1727</v>
      </c>
      <c r="E76" s="1">
        <v>43739</v>
      </c>
      <c r="F76">
        <v>1</v>
      </c>
      <c r="G76">
        <v>10</v>
      </c>
      <c r="H76">
        <v>2019</v>
      </c>
      <c r="I76" s="5">
        <f>(Table32[[#This Row],[Revenue]]/Table32[[#This Row],[Units Sold]])</f>
        <v>5</v>
      </c>
      <c r="J76" s="5">
        <f>Table32[[#This Row],[revenue/unit]]-Table32[[#This Row],[Cost/unit]]</f>
        <v>2.8</v>
      </c>
      <c r="K76">
        <f>Table32[[#This Row],[Revenue]]-Table32[[#This Row],[Cost]]</f>
        <v>4835.6000000000004</v>
      </c>
      <c r="L76" s="6">
        <f>Table32[[#This Row],[Net Profit]]/Table32[[#This Row],[Cost]]</f>
        <v>1.2727272727272727</v>
      </c>
      <c r="M76">
        <v>8635</v>
      </c>
      <c r="N76" s="7">
        <f>Table32[[#This Row],[Cost]]/Table32[[#This Row],[Units Sold]]</f>
        <v>2.2000000000000002</v>
      </c>
      <c r="O76">
        <v>3799.4</v>
      </c>
      <c r="T76" s="1"/>
    </row>
    <row r="77" spans="1:20">
      <c r="A77">
        <v>3</v>
      </c>
      <c r="B77">
        <v>576749</v>
      </c>
      <c r="C77" t="s">
        <v>13</v>
      </c>
      <c r="D77" s="2">
        <v>766</v>
      </c>
      <c r="E77" s="1">
        <v>43739</v>
      </c>
      <c r="F77">
        <v>1</v>
      </c>
      <c r="G77">
        <v>10</v>
      </c>
      <c r="H77">
        <v>2019</v>
      </c>
      <c r="I77" s="5">
        <f>(Table32[[#This Row],[Revenue]]/Table32[[#This Row],[Units Sold]])</f>
        <v>4</v>
      </c>
      <c r="J77" s="5">
        <f>Table32[[#This Row],[revenue/unit]]-Table32[[#This Row],[Cost/unit]]</f>
        <v>2.5</v>
      </c>
      <c r="K77">
        <f>Table32[[#This Row],[Revenue]]-Table32[[#This Row],[Cost]]</f>
        <v>1915</v>
      </c>
      <c r="L77" s="6">
        <f>Table32[[#This Row],[Net Profit]]/Table32[[#This Row],[Cost]]</f>
        <v>1.6666666666666667</v>
      </c>
      <c r="M77">
        <v>3064</v>
      </c>
      <c r="N77" s="7">
        <f>Table32[[#This Row],[Cost]]/Table32[[#This Row],[Units Sold]]</f>
        <v>1.5</v>
      </c>
      <c r="O77">
        <v>1149</v>
      </c>
      <c r="T77" s="1"/>
    </row>
    <row r="78" spans="1:20">
      <c r="A78">
        <v>5</v>
      </c>
      <c r="B78">
        <v>238485</v>
      </c>
      <c r="C78" t="s">
        <v>13</v>
      </c>
      <c r="D78" s="2">
        <v>494</v>
      </c>
      <c r="E78" s="1">
        <v>43739</v>
      </c>
      <c r="F78">
        <v>1</v>
      </c>
      <c r="G78">
        <v>10</v>
      </c>
      <c r="H78">
        <v>2019</v>
      </c>
      <c r="I78" s="5">
        <f>(Table32[[#This Row],[Revenue]]/Table32[[#This Row],[Units Sold]])</f>
        <v>4</v>
      </c>
      <c r="J78" s="5">
        <f>Table32[[#This Row],[revenue/unit]]-Table32[[#This Row],[Cost/unit]]</f>
        <v>2.5</v>
      </c>
      <c r="K78">
        <f>Table32[[#This Row],[Revenue]]-Table32[[#This Row],[Cost]]</f>
        <v>1235</v>
      </c>
      <c r="L78" s="6">
        <f>Table32[[#This Row],[Net Profit]]/Table32[[#This Row],[Cost]]</f>
        <v>1.6666666666666667</v>
      </c>
      <c r="M78">
        <v>1976</v>
      </c>
      <c r="N78" s="7">
        <f>Table32[[#This Row],[Cost]]/Table32[[#This Row],[Units Sold]]</f>
        <v>1.5</v>
      </c>
      <c r="O78">
        <v>741</v>
      </c>
      <c r="T78" s="1"/>
    </row>
    <row r="79" spans="1:20">
      <c r="A79">
        <v>1</v>
      </c>
      <c r="B79">
        <v>893967</v>
      </c>
      <c r="C79" t="s">
        <v>13</v>
      </c>
      <c r="D79" s="2">
        <v>214</v>
      </c>
      <c r="E79" s="1">
        <v>43739</v>
      </c>
      <c r="F79">
        <v>1</v>
      </c>
      <c r="G79">
        <v>10</v>
      </c>
      <c r="H79">
        <v>2019</v>
      </c>
      <c r="I79" s="5">
        <f>(Table32[[#This Row],[Revenue]]/Table32[[#This Row],[Units Sold]])</f>
        <v>4</v>
      </c>
      <c r="J79" s="5">
        <f>Table32[[#This Row],[revenue/unit]]-Table32[[#This Row],[Cost/unit]]</f>
        <v>2.5</v>
      </c>
      <c r="K79">
        <f>Table32[[#This Row],[Revenue]]-Table32[[#This Row],[Cost]]</f>
        <v>535</v>
      </c>
      <c r="L79" s="6">
        <f>Table32[[#This Row],[Net Profit]]/Table32[[#This Row],[Cost]]</f>
        <v>1.6666666666666667</v>
      </c>
      <c r="M79">
        <v>856</v>
      </c>
      <c r="N79" s="7">
        <f>Table32[[#This Row],[Cost]]/Table32[[#This Row],[Units Sold]]</f>
        <v>1.5</v>
      </c>
      <c r="O79">
        <v>321</v>
      </c>
      <c r="T79" s="1"/>
    </row>
    <row r="80" spans="1:20">
      <c r="A80">
        <v>2</v>
      </c>
      <c r="B80">
        <v>654585</v>
      </c>
      <c r="C80" t="s">
        <v>13</v>
      </c>
      <c r="D80" s="2">
        <v>2851</v>
      </c>
      <c r="E80" s="1">
        <v>43739</v>
      </c>
      <c r="F80">
        <v>1</v>
      </c>
      <c r="G80">
        <v>10</v>
      </c>
      <c r="H80">
        <v>2019</v>
      </c>
      <c r="I80" s="5">
        <f>(Table32[[#This Row],[Revenue]]/Table32[[#This Row],[Units Sold]])</f>
        <v>4</v>
      </c>
      <c r="J80" s="5">
        <f>Table32[[#This Row],[revenue/unit]]-Table32[[#This Row],[Cost/unit]]</f>
        <v>2.5</v>
      </c>
      <c r="K80">
        <f>Table32[[#This Row],[Revenue]]-Table32[[#This Row],[Cost]]</f>
        <v>7127.5</v>
      </c>
      <c r="L80" s="6">
        <f>Table32[[#This Row],[Net Profit]]/Table32[[#This Row],[Cost]]</f>
        <v>1.6666666666666667</v>
      </c>
      <c r="M80">
        <v>11404</v>
      </c>
      <c r="N80" s="7">
        <f>Table32[[#This Row],[Cost]]/Table32[[#This Row],[Units Sold]]</f>
        <v>1.5</v>
      </c>
      <c r="O80">
        <v>4276.5</v>
      </c>
      <c r="T80" s="1"/>
    </row>
    <row r="81" spans="1:20">
      <c r="A81">
        <v>4</v>
      </c>
      <c r="B81">
        <v>288662</v>
      </c>
      <c r="C81" t="s">
        <v>13</v>
      </c>
      <c r="D81" s="2">
        <v>2299</v>
      </c>
      <c r="E81" s="1">
        <v>43739</v>
      </c>
      <c r="F81">
        <v>1</v>
      </c>
      <c r="G81">
        <v>10</v>
      </c>
      <c r="H81">
        <v>2019</v>
      </c>
      <c r="I81" s="5">
        <f>(Table32[[#This Row],[Revenue]]/Table32[[#This Row],[Units Sold]])</f>
        <v>4</v>
      </c>
      <c r="J81" s="5">
        <f>Table32[[#This Row],[revenue/unit]]-Table32[[#This Row],[Cost/unit]]</f>
        <v>2.5</v>
      </c>
      <c r="K81">
        <f>Table32[[#This Row],[Revenue]]-Table32[[#This Row],[Cost]]</f>
        <v>5747.5</v>
      </c>
      <c r="L81" s="6">
        <f>Table32[[#This Row],[Net Profit]]/Table32[[#This Row],[Cost]]</f>
        <v>1.6666666666666667</v>
      </c>
      <c r="M81">
        <v>9196</v>
      </c>
      <c r="N81" s="7">
        <f>Table32[[#This Row],[Cost]]/Table32[[#This Row],[Units Sold]]</f>
        <v>1.5</v>
      </c>
      <c r="O81">
        <v>3448.5</v>
      </c>
      <c r="T81" s="1"/>
    </row>
    <row r="82" spans="1:20">
      <c r="A82">
        <v>5</v>
      </c>
      <c r="B82">
        <v>496752</v>
      </c>
      <c r="C82" t="s">
        <v>13</v>
      </c>
      <c r="D82" s="2">
        <v>367</v>
      </c>
      <c r="E82" s="1">
        <v>43739</v>
      </c>
      <c r="F82">
        <v>1</v>
      </c>
      <c r="G82">
        <v>10</v>
      </c>
      <c r="H82">
        <v>2019</v>
      </c>
      <c r="I82" s="5">
        <f>(Table32[[#This Row],[Revenue]]/Table32[[#This Row],[Units Sold]])</f>
        <v>4</v>
      </c>
      <c r="J82" s="5">
        <f>Table32[[#This Row],[revenue/unit]]-Table32[[#This Row],[Cost/unit]]</f>
        <v>2.5</v>
      </c>
      <c r="K82">
        <f>Table32[[#This Row],[Revenue]]-Table32[[#This Row],[Cost]]</f>
        <v>917.5</v>
      </c>
      <c r="L82" s="6">
        <f>Table32[[#This Row],[Net Profit]]/Table32[[#This Row],[Cost]]</f>
        <v>1.6666666666666667</v>
      </c>
      <c r="M82">
        <v>1468</v>
      </c>
      <c r="N82" s="7">
        <f>Table32[[#This Row],[Cost]]/Table32[[#This Row],[Units Sold]]</f>
        <v>1.5</v>
      </c>
      <c r="O82">
        <v>550.5</v>
      </c>
      <c r="T82" s="1"/>
    </row>
    <row r="83" spans="1:20">
      <c r="A83">
        <v>4</v>
      </c>
      <c r="B83">
        <v>395290</v>
      </c>
      <c r="C83" t="s">
        <v>13</v>
      </c>
      <c r="D83" s="2">
        <v>386</v>
      </c>
      <c r="E83" s="1">
        <v>43739</v>
      </c>
      <c r="F83">
        <v>1</v>
      </c>
      <c r="G83">
        <v>10</v>
      </c>
      <c r="H83">
        <v>2019</v>
      </c>
      <c r="I83" s="5">
        <f>(Table32[[#This Row],[Revenue]]/Table32[[#This Row],[Units Sold]])</f>
        <v>4</v>
      </c>
      <c r="J83" s="5">
        <f>Table32[[#This Row],[revenue/unit]]-Table32[[#This Row],[Cost/unit]]</f>
        <v>2.5</v>
      </c>
      <c r="K83">
        <f>Table32[[#This Row],[Revenue]]-Table32[[#This Row],[Cost]]</f>
        <v>965</v>
      </c>
      <c r="L83" s="6">
        <f>Table32[[#This Row],[Net Profit]]/Table32[[#This Row],[Cost]]</f>
        <v>1.6666666666666667</v>
      </c>
      <c r="M83">
        <v>1544</v>
      </c>
      <c r="N83" s="7">
        <f>Table32[[#This Row],[Cost]]/Table32[[#This Row],[Units Sold]]</f>
        <v>1.5</v>
      </c>
      <c r="O83">
        <v>579</v>
      </c>
      <c r="T83" s="1"/>
    </row>
    <row r="84" spans="1:20">
      <c r="A84">
        <v>3</v>
      </c>
      <c r="B84">
        <v>518063</v>
      </c>
      <c r="C84" t="s">
        <v>13</v>
      </c>
      <c r="D84" s="2">
        <v>1198</v>
      </c>
      <c r="E84" s="1">
        <v>43739</v>
      </c>
      <c r="F84">
        <v>1</v>
      </c>
      <c r="G84">
        <v>10</v>
      </c>
      <c r="H84">
        <v>2019</v>
      </c>
      <c r="I84" s="5">
        <f>(Table32[[#This Row],[Revenue]]/Table32[[#This Row],[Units Sold]])</f>
        <v>4</v>
      </c>
      <c r="J84" s="5">
        <f>Table32[[#This Row],[revenue/unit]]-Table32[[#This Row],[Cost/unit]]</f>
        <v>2.5</v>
      </c>
      <c r="K84">
        <f>Table32[[#This Row],[Revenue]]-Table32[[#This Row],[Cost]]</f>
        <v>2995</v>
      </c>
      <c r="L84" s="6">
        <f>Table32[[#This Row],[Net Profit]]/Table32[[#This Row],[Cost]]</f>
        <v>1.6666666666666667</v>
      </c>
      <c r="M84">
        <v>4792</v>
      </c>
      <c r="N84" s="7">
        <f>Table32[[#This Row],[Cost]]/Table32[[#This Row],[Units Sold]]</f>
        <v>1.5</v>
      </c>
      <c r="O84">
        <v>1797</v>
      </c>
      <c r="T84" s="1"/>
    </row>
    <row r="85" spans="1:20">
      <c r="A85">
        <v>1</v>
      </c>
      <c r="B85">
        <v>727283</v>
      </c>
      <c r="C85" t="s">
        <v>13</v>
      </c>
      <c r="D85" s="2">
        <v>2996</v>
      </c>
      <c r="E85" s="1">
        <v>43739</v>
      </c>
      <c r="F85">
        <v>1</v>
      </c>
      <c r="G85">
        <v>10</v>
      </c>
      <c r="H85">
        <v>2019</v>
      </c>
      <c r="I85" s="5">
        <f>(Table32[[#This Row],[Revenue]]/Table32[[#This Row],[Units Sold]])</f>
        <v>4</v>
      </c>
      <c r="J85" s="5">
        <f>Table32[[#This Row],[revenue/unit]]-Table32[[#This Row],[Cost/unit]]</f>
        <v>2.5</v>
      </c>
      <c r="K85">
        <f>Table32[[#This Row],[Revenue]]-Table32[[#This Row],[Cost]]</f>
        <v>7490</v>
      </c>
      <c r="L85" s="6">
        <f>Table32[[#This Row],[Net Profit]]/Table32[[#This Row],[Cost]]</f>
        <v>1.6666666666666667</v>
      </c>
      <c r="M85">
        <v>11984</v>
      </c>
      <c r="N85" s="7">
        <f>Table32[[#This Row],[Cost]]/Table32[[#This Row],[Units Sold]]</f>
        <v>1.5</v>
      </c>
      <c r="O85">
        <v>4494</v>
      </c>
      <c r="T85" s="1"/>
    </row>
    <row r="86" spans="1:20">
      <c r="A86">
        <v>3</v>
      </c>
      <c r="B86">
        <v>243929</v>
      </c>
      <c r="C86" t="s">
        <v>14</v>
      </c>
      <c r="D86" s="2">
        <v>494</v>
      </c>
      <c r="E86" s="1">
        <v>43739</v>
      </c>
      <c r="F86">
        <v>1</v>
      </c>
      <c r="G86">
        <v>10</v>
      </c>
      <c r="H86">
        <v>2019</v>
      </c>
      <c r="I86" s="5">
        <f>(Table32[[#This Row],[Revenue]]/Table32[[#This Row],[Units Sold]])</f>
        <v>3</v>
      </c>
      <c r="J86" s="5">
        <f>Table32[[#This Row],[revenue/unit]]-Table32[[#This Row],[Cost/unit]]</f>
        <v>1.75</v>
      </c>
      <c r="K86">
        <f>Table32[[#This Row],[Revenue]]-Table32[[#This Row],[Cost]]</f>
        <v>864.5</v>
      </c>
      <c r="L86" s="6">
        <f>Table32[[#This Row],[Net Profit]]/Table32[[#This Row],[Cost]]</f>
        <v>1.4</v>
      </c>
      <c r="M86">
        <v>1482</v>
      </c>
      <c r="N86" s="7">
        <f>Table32[[#This Row],[Cost]]/Table32[[#This Row],[Units Sold]]</f>
        <v>1.25</v>
      </c>
      <c r="O86">
        <v>617.5</v>
      </c>
      <c r="T86" s="1"/>
    </row>
    <row r="87" spans="1:20">
      <c r="A87">
        <v>5</v>
      </c>
      <c r="B87">
        <v>827058</v>
      </c>
      <c r="C87" t="s">
        <v>14</v>
      </c>
      <c r="D87" s="2">
        <v>214</v>
      </c>
      <c r="E87" s="1">
        <v>43739</v>
      </c>
      <c r="F87">
        <v>1</v>
      </c>
      <c r="G87">
        <v>10</v>
      </c>
      <c r="H87">
        <v>2019</v>
      </c>
      <c r="I87" s="5">
        <f>(Table32[[#This Row],[Revenue]]/Table32[[#This Row],[Units Sold]])</f>
        <v>3</v>
      </c>
      <c r="J87" s="5">
        <f>Table32[[#This Row],[revenue/unit]]-Table32[[#This Row],[Cost/unit]]</f>
        <v>1.75</v>
      </c>
      <c r="K87">
        <f>Table32[[#This Row],[Revenue]]-Table32[[#This Row],[Cost]]</f>
        <v>374.5</v>
      </c>
      <c r="L87" s="6">
        <f>Table32[[#This Row],[Net Profit]]/Table32[[#This Row],[Cost]]</f>
        <v>1.4</v>
      </c>
      <c r="M87">
        <v>642</v>
      </c>
      <c r="N87" s="7">
        <f>Table32[[#This Row],[Cost]]/Table32[[#This Row],[Units Sold]]</f>
        <v>1.25</v>
      </c>
      <c r="O87">
        <v>267.5</v>
      </c>
      <c r="T87" s="1"/>
    </row>
    <row r="88" spans="1:20">
      <c r="A88">
        <v>4</v>
      </c>
      <c r="B88">
        <v>623371</v>
      </c>
      <c r="C88" t="s">
        <v>14</v>
      </c>
      <c r="D88" s="2">
        <v>1945</v>
      </c>
      <c r="E88" s="1">
        <v>43739</v>
      </c>
      <c r="F88">
        <v>1</v>
      </c>
      <c r="G88">
        <v>10</v>
      </c>
      <c r="H88">
        <v>2019</v>
      </c>
      <c r="I88" s="5">
        <f>(Table32[[#This Row],[Revenue]]/Table32[[#This Row],[Units Sold]])</f>
        <v>3</v>
      </c>
      <c r="J88" s="5">
        <f>Table32[[#This Row],[revenue/unit]]-Table32[[#This Row],[Cost/unit]]</f>
        <v>1.75</v>
      </c>
      <c r="K88">
        <f>Table32[[#This Row],[Revenue]]-Table32[[#This Row],[Cost]]</f>
        <v>3403.75</v>
      </c>
      <c r="L88" s="6">
        <f>Table32[[#This Row],[Net Profit]]/Table32[[#This Row],[Cost]]</f>
        <v>1.4</v>
      </c>
      <c r="M88">
        <v>5835</v>
      </c>
      <c r="N88" s="7">
        <f>Table32[[#This Row],[Cost]]/Table32[[#This Row],[Units Sold]]</f>
        <v>1.25</v>
      </c>
      <c r="O88">
        <v>2431.25</v>
      </c>
      <c r="T88" s="1"/>
    </row>
    <row r="89" spans="1:20">
      <c r="A89">
        <v>3</v>
      </c>
      <c r="B89">
        <v>592176</v>
      </c>
      <c r="C89" t="s">
        <v>14</v>
      </c>
      <c r="D89" s="2">
        <v>1514</v>
      </c>
      <c r="E89" s="1">
        <v>43739</v>
      </c>
      <c r="F89">
        <v>1</v>
      </c>
      <c r="G89">
        <v>10</v>
      </c>
      <c r="H89">
        <v>2019</v>
      </c>
      <c r="I89" s="5">
        <f>(Table32[[#This Row],[Revenue]]/Table32[[#This Row],[Units Sold]])</f>
        <v>3</v>
      </c>
      <c r="J89" s="5">
        <f>Table32[[#This Row],[revenue/unit]]-Table32[[#This Row],[Cost/unit]]</f>
        <v>1.75</v>
      </c>
      <c r="K89">
        <f>Table32[[#This Row],[Revenue]]-Table32[[#This Row],[Cost]]</f>
        <v>2649.5</v>
      </c>
      <c r="L89" s="6">
        <f>Table32[[#This Row],[Net Profit]]/Table32[[#This Row],[Cost]]</f>
        <v>1.4</v>
      </c>
      <c r="M89">
        <v>4542</v>
      </c>
      <c r="N89" s="7">
        <f>Table32[[#This Row],[Cost]]/Table32[[#This Row],[Units Sold]]</f>
        <v>1.25</v>
      </c>
      <c r="O89">
        <v>1892.5</v>
      </c>
      <c r="T89" s="1"/>
    </row>
    <row r="90" spans="1:20">
      <c r="A90">
        <v>5</v>
      </c>
      <c r="B90">
        <v>426898</v>
      </c>
      <c r="C90" t="s">
        <v>14</v>
      </c>
      <c r="D90" s="2">
        <v>1389</v>
      </c>
      <c r="E90" s="1">
        <v>43739</v>
      </c>
      <c r="F90">
        <v>1</v>
      </c>
      <c r="G90">
        <v>10</v>
      </c>
      <c r="H90">
        <v>2019</v>
      </c>
      <c r="I90" s="5">
        <f>(Table32[[#This Row],[Revenue]]/Table32[[#This Row],[Units Sold]])</f>
        <v>3</v>
      </c>
      <c r="J90" s="5">
        <f>Table32[[#This Row],[revenue/unit]]-Table32[[#This Row],[Cost/unit]]</f>
        <v>1.75</v>
      </c>
      <c r="K90">
        <f>Table32[[#This Row],[Revenue]]-Table32[[#This Row],[Cost]]</f>
        <v>2430.75</v>
      </c>
      <c r="L90" s="6">
        <f>Table32[[#This Row],[Net Profit]]/Table32[[#This Row],[Cost]]</f>
        <v>1.4</v>
      </c>
      <c r="M90">
        <v>4167</v>
      </c>
      <c r="N90" s="7">
        <f>Table32[[#This Row],[Cost]]/Table32[[#This Row],[Units Sold]]</f>
        <v>1.25</v>
      </c>
      <c r="O90">
        <v>1736.25</v>
      </c>
      <c r="T90" s="1"/>
    </row>
    <row r="91" spans="1:20">
      <c r="A91">
        <v>2</v>
      </c>
      <c r="B91">
        <v>425472</v>
      </c>
      <c r="C91" t="s">
        <v>14</v>
      </c>
      <c r="D91" s="2">
        <v>1221</v>
      </c>
      <c r="E91" s="1">
        <v>43739</v>
      </c>
      <c r="F91">
        <v>1</v>
      </c>
      <c r="G91">
        <v>10</v>
      </c>
      <c r="H91">
        <v>2019</v>
      </c>
      <c r="I91" s="5">
        <f>(Table32[[#This Row],[Revenue]]/Table32[[#This Row],[Units Sold]])</f>
        <v>3</v>
      </c>
      <c r="J91" s="5">
        <f>Table32[[#This Row],[revenue/unit]]-Table32[[#This Row],[Cost/unit]]</f>
        <v>1.75</v>
      </c>
      <c r="K91">
        <f>Table32[[#This Row],[Revenue]]-Table32[[#This Row],[Cost]]</f>
        <v>2136.75</v>
      </c>
      <c r="L91" s="6">
        <f>Table32[[#This Row],[Net Profit]]/Table32[[#This Row],[Cost]]</f>
        <v>1.4</v>
      </c>
      <c r="M91">
        <v>3663</v>
      </c>
      <c r="N91" s="7">
        <f>Table32[[#This Row],[Cost]]/Table32[[#This Row],[Units Sold]]</f>
        <v>1.25</v>
      </c>
      <c r="O91">
        <v>1526.25</v>
      </c>
      <c r="T91" s="1"/>
    </row>
    <row r="92" spans="1:20">
      <c r="A92">
        <v>2</v>
      </c>
      <c r="B92">
        <v>540189</v>
      </c>
      <c r="C92" t="s">
        <v>14</v>
      </c>
      <c r="D92" s="2">
        <v>2294</v>
      </c>
      <c r="E92" s="1">
        <v>43739</v>
      </c>
      <c r="F92">
        <v>1</v>
      </c>
      <c r="G92">
        <v>10</v>
      </c>
      <c r="H92">
        <v>2019</v>
      </c>
      <c r="I92" s="5">
        <f>(Table32[[#This Row],[Revenue]]/Table32[[#This Row],[Units Sold]])</f>
        <v>3</v>
      </c>
      <c r="J92" s="5">
        <f>Table32[[#This Row],[revenue/unit]]-Table32[[#This Row],[Cost/unit]]</f>
        <v>1.75</v>
      </c>
      <c r="K92">
        <f>Table32[[#This Row],[Revenue]]-Table32[[#This Row],[Cost]]</f>
        <v>4014.5</v>
      </c>
      <c r="L92" s="6">
        <f>Table32[[#This Row],[Net Profit]]/Table32[[#This Row],[Cost]]</f>
        <v>1.4</v>
      </c>
      <c r="M92">
        <v>6882</v>
      </c>
      <c r="N92" s="7">
        <f>Table32[[#This Row],[Cost]]/Table32[[#This Row],[Units Sold]]</f>
        <v>1.25</v>
      </c>
      <c r="O92">
        <v>2867.5</v>
      </c>
      <c r="T92" s="1"/>
    </row>
    <row r="93" spans="1:20">
      <c r="A93">
        <v>5</v>
      </c>
      <c r="B93">
        <v>823956</v>
      </c>
      <c r="C93" t="s">
        <v>14</v>
      </c>
      <c r="D93" s="2">
        <v>2167</v>
      </c>
      <c r="E93" s="1">
        <v>43739</v>
      </c>
      <c r="F93">
        <v>1</v>
      </c>
      <c r="G93">
        <v>10</v>
      </c>
      <c r="H93">
        <v>2019</v>
      </c>
      <c r="I93" s="5">
        <f>(Table32[[#This Row],[Revenue]]/Table32[[#This Row],[Units Sold]])</f>
        <v>3</v>
      </c>
      <c r="J93" s="5">
        <f>Table32[[#This Row],[revenue/unit]]-Table32[[#This Row],[Cost/unit]]</f>
        <v>1.75</v>
      </c>
      <c r="K93">
        <f>Table32[[#This Row],[Revenue]]-Table32[[#This Row],[Cost]]</f>
        <v>3792.25</v>
      </c>
      <c r="L93" s="6">
        <f>Table32[[#This Row],[Net Profit]]/Table32[[#This Row],[Cost]]</f>
        <v>1.4</v>
      </c>
      <c r="M93">
        <v>6501</v>
      </c>
      <c r="N93" s="7">
        <f>Table32[[#This Row],[Cost]]/Table32[[#This Row],[Units Sold]]</f>
        <v>1.25</v>
      </c>
      <c r="O93">
        <v>2708.75</v>
      </c>
      <c r="T93" s="1"/>
    </row>
    <row r="94" spans="1:20">
      <c r="A94">
        <v>4</v>
      </c>
      <c r="B94">
        <v>340032</v>
      </c>
      <c r="C94" t="s">
        <v>14</v>
      </c>
      <c r="D94" s="2">
        <v>269</v>
      </c>
      <c r="E94" s="1">
        <v>43739</v>
      </c>
      <c r="F94">
        <v>1</v>
      </c>
      <c r="G94">
        <v>10</v>
      </c>
      <c r="H94">
        <v>2019</v>
      </c>
      <c r="I94" s="5">
        <f>(Table32[[#This Row],[Revenue]]/Table32[[#This Row],[Units Sold]])</f>
        <v>3</v>
      </c>
      <c r="J94" s="5">
        <f>Table32[[#This Row],[revenue/unit]]-Table32[[#This Row],[Cost/unit]]</f>
        <v>1.75</v>
      </c>
      <c r="K94">
        <f>Table32[[#This Row],[Revenue]]-Table32[[#This Row],[Cost]]</f>
        <v>470.75</v>
      </c>
      <c r="L94" s="6">
        <f>Table32[[#This Row],[Net Profit]]/Table32[[#This Row],[Cost]]</f>
        <v>1.4</v>
      </c>
      <c r="M94">
        <v>807</v>
      </c>
      <c r="N94" s="7">
        <f>Table32[[#This Row],[Cost]]/Table32[[#This Row],[Units Sold]]</f>
        <v>1.25</v>
      </c>
      <c r="O94">
        <v>336.25</v>
      </c>
      <c r="T94" s="1"/>
    </row>
    <row r="95" spans="1:20">
      <c r="A95">
        <v>1</v>
      </c>
      <c r="B95">
        <v>199727</v>
      </c>
      <c r="C95" t="s">
        <v>14</v>
      </c>
      <c r="D95" s="2">
        <v>267</v>
      </c>
      <c r="E95" s="1">
        <v>43739</v>
      </c>
      <c r="F95">
        <v>1</v>
      </c>
      <c r="G95">
        <v>10</v>
      </c>
      <c r="H95">
        <v>2019</v>
      </c>
      <c r="I95" s="5">
        <f>(Table32[[#This Row],[Revenue]]/Table32[[#This Row],[Units Sold]])</f>
        <v>3</v>
      </c>
      <c r="J95" s="5">
        <f>Table32[[#This Row],[revenue/unit]]-Table32[[#This Row],[Cost/unit]]</f>
        <v>1.75</v>
      </c>
      <c r="K95">
        <f>Table32[[#This Row],[Revenue]]-Table32[[#This Row],[Cost]]</f>
        <v>467.25</v>
      </c>
      <c r="L95" s="6">
        <f>Table32[[#This Row],[Net Profit]]/Table32[[#This Row],[Cost]]</f>
        <v>1.4</v>
      </c>
      <c r="M95">
        <v>801</v>
      </c>
      <c r="N95" s="7">
        <f>Table32[[#This Row],[Cost]]/Table32[[#This Row],[Units Sold]]</f>
        <v>1.25</v>
      </c>
      <c r="O95">
        <v>333.75</v>
      </c>
      <c r="T95" s="1"/>
    </row>
    <row r="96" spans="1:20">
      <c r="A96">
        <v>3</v>
      </c>
      <c r="B96">
        <v>725066</v>
      </c>
      <c r="C96" t="s">
        <v>15</v>
      </c>
      <c r="D96" s="2">
        <v>345</v>
      </c>
      <c r="E96" s="1">
        <v>43739</v>
      </c>
      <c r="F96">
        <v>1</v>
      </c>
      <c r="G96">
        <v>10</v>
      </c>
      <c r="H96">
        <v>2019</v>
      </c>
      <c r="I96" s="5">
        <f>(Table32[[#This Row],[Revenue]]/Table32[[#This Row],[Units Sold]])</f>
        <v>6</v>
      </c>
      <c r="J96" s="5">
        <f>Table32[[#This Row],[revenue/unit]]-Table32[[#This Row],[Cost/unit]]</f>
        <v>3.25</v>
      </c>
      <c r="K96">
        <f>Table32[[#This Row],[Revenue]]-Table32[[#This Row],[Cost]]</f>
        <v>1121.25</v>
      </c>
      <c r="L96" s="6">
        <f>Table32[[#This Row],[Net Profit]]/Table32[[#This Row],[Cost]]</f>
        <v>1.1818181818181819</v>
      </c>
      <c r="M96">
        <v>2070</v>
      </c>
      <c r="N96" s="7">
        <f>Table32[[#This Row],[Cost]]/Table32[[#This Row],[Units Sold]]</f>
        <v>2.75</v>
      </c>
      <c r="O96">
        <v>948.75</v>
      </c>
      <c r="T96" s="1"/>
    </row>
    <row r="97" spans="1:20">
      <c r="A97">
        <v>5</v>
      </c>
      <c r="B97">
        <v>196520</v>
      </c>
      <c r="C97" t="s">
        <v>15</v>
      </c>
      <c r="D97" s="2">
        <v>663</v>
      </c>
      <c r="E97" s="1">
        <v>43739</v>
      </c>
      <c r="F97">
        <v>1</v>
      </c>
      <c r="G97">
        <v>10</v>
      </c>
      <c r="H97">
        <v>2019</v>
      </c>
      <c r="I97" s="5">
        <f>(Table32[[#This Row],[Revenue]]/Table32[[#This Row],[Units Sold]])</f>
        <v>6</v>
      </c>
      <c r="J97" s="5">
        <f>Table32[[#This Row],[revenue/unit]]-Table32[[#This Row],[Cost/unit]]</f>
        <v>3.25</v>
      </c>
      <c r="K97">
        <f>Table32[[#This Row],[Revenue]]-Table32[[#This Row],[Cost]]</f>
        <v>2154.75</v>
      </c>
      <c r="L97" s="6">
        <f>Table32[[#This Row],[Net Profit]]/Table32[[#This Row],[Cost]]</f>
        <v>1.1818181818181819</v>
      </c>
      <c r="M97">
        <v>3978</v>
      </c>
      <c r="N97" s="7">
        <f>Table32[[#This Row],[Cost]]/Table32[[#This Row],[Units Sold]]</f>
        <v>2.75</v>
      </c>
      <c r="O97">
        <v>1823.25</v>
      </c>
      <c r="T97" s="1"/>
    </row>
    <row r="98" spans="1:20">
      <c r="A98">
        <v>4</v>
      </c>
      <c r="B98">
        <v>861720</v>
      </c>
      <c r="C98" t="s">
        <v>15</v>
      </c>
      <c r="D98" s="2">
        <v>2966</v>
      </c>
      <c r="E98" s="1">
        <v>43739</v>
      </c>
      <c r="F98">
        <v>1</v>
      </c>
      <c r="G98">
        <v>10</v>
      </c>
      <c r="H98">
        <v>2019</v>
      </c>
      <c r="I98" s="5">
        <f>(Table32[[#This Row],[Revenue]]/Table32[[#This Row],[Units Sold]])</f>
        <v>6</v>
      </c>
      <c r="J98" s="5">
        <f>Table32[[#This Row],[revenue/unit]]-Table32[[#This Row],[Cost/unit]]</f>
        <v>3.25</v>
      </c>
      <c r="K98">
        <f>Table32[[#This Row],[Revenue]]-Table32[[#This Row],[Cost]]</f>
        <v>9639.5</v>
      </c>
      <c r="L98" s="6">
        <f>Table32[[#This Row],[Net Profit]]/Table32[[#This Row],[Cost]]</f>
        <v>1.1818181818181819</v>
      </c>
      <c r="M98">
        <v>17796</v>
      </c>
      <c r="N98" s="7">
        <f>Table32[[#This Row],[Cost]]/Table32[[#This Row],[Units Sold]]</f>
        <v>2.75</v>
      </c>
      <c r="O98">
        <v>8156.5</v>
      </c>
      <c r="T98" s="1"/>
    </row>
    <row r="99" spans="1:20">
      <c r="A99">
        <v>1</v>
      </c>
      <c r="B99">
        <v>156941</v>
      </c>
      <c r="C99" t="s">
        <v>15</v>
      </c>
      <c r="D99" s="2">
        <v>809</v>
      </c>
      <c r="E99" s="1">
        <v>43739</v>
      </c>
      <c r="F99">
        <v>1</v>
      </c>
      <c r="G99">
        <v>10</v>
      </c>
      <c r="H99">
        <v>2019</v>
      </c>
      <c r="I99" s="5">
        <f>(Table32[[#This Row],[Revenue]]/Table32[[#This Row],[Units Sold]])</f>
        <v>6</v>
      </c>
      <c r="J99" s="5">
        <f>Table32[[#This Row],[revenue/unit]]-Table32[[#This Row],[Cost/unit]]</f>
        <v>3.25</v>
      </c>
      <c r="K99">
        <f>Table32[[#This Row],[Revenue]]-Table32[[#This Row],[Cost]]</f>
        <v>2629.25</v>
      </c>
      <c r="L99" s="6">
        <f>Table32[[#This Row],[Net Profit]]/Table32[[#This Row],[Cost]]</f>
        <v>1.1818181818181819</v>
      </c>
      <c r="M99">
        <v>4854</v>
      </c>
      <c r="N99" s="7">
        <f>Table32[[#This Row],[Cost]]/Table32[[#This Row],[Units Sold]]</f>
        <v>2.75</v>
      </c>
      <c r="O99">
        <v>2224.75</v>
      </c>
      <c r="T99" s="1"/>
    </row>
    <row r="100" spans="1:20">
      <c r="A100">
        <v>2</v>
      </c>
      <c r="B100">
        <v>431261</v>
      </c>
      <c r="C100" t="s">
        <v>15</v>
      </c>
      <c r="D100" s="2">
        <v>2145</v>
      </c>
      <c r="E100" s="1">
        <v>43739</v>
      </c>
      <c r="F100">
        <v>1</v>
      </c>
      <c r="G100">
        <v>10</v>
      </c>
      <c r="H100">
        <v>2019</v>
      </c>
      <c r="I100" s="5">
        <f>(Table32[[#This Row],[Revenue]]/Table32[[#This Row],[Units Sold]])</f>
        <v>6</v>
      </c>
      <c r="J100" s="5">
        <f>Table32[[#This Row],[revenue/unit]]-Table32[[#This Row],[Cost/unit]]</f>
        <v>3.25</v>
      </c>
      <c r="K100">
        <f>Table32[[#This Row],[Revenue]]-Table32[[#This Row],[Cost]]</f>
        <v>6971.25</v>
      </c>
      <c r="L100" s="6">
        <f>Table32[[#This Row],[Net Profit]]/Table32[[#This Row],[Cost]]</f>
        <v>1.1818181818181819</v>
      </c>
      <c r="M100">
        <v>12870</v>
      </c>
      <c r="N100" s="7">
        <f>Table32[[#This Row],[Cost]]/Table32[[#This Row],[Units Sold]]</f>
        <v>2.75</v>
      </c>
      <c r="O100">
        <v>5898.75</v>
      </c>
      <c r="T100" s="1"/>
    </row>
    <row r="101" spans="1:20">
      <c r="A101">
        <v>5</v>
      </c>
      <c r="B101">
        <v>295390</v>
      </c>
      <c r="C101" t="s">
        <v>15</v>
      </c>
      <c r="D101" s="2">
        <v>704</v>
      </c>
      <c r="E101" s="1">
        <v>43739</v>
      </c>
      <c r="F101">
        <v>1</v>
      </c>
      <c r="G101">
        <v>10</v>
      </c>
      <c r="H101">
        <v>2019</v>
      </c>
      <c r="I101" s="5">
        <f>(Table32[[#This Row],[Revenue]]/Table32[[#This Row],[Units Sold]])</f>
        <v>6</v>
      </c>
      <c r="J101" s="5">
        <f>Table32[[#This Row],[revenue/unit]]-Table32[[#This Row],[Cost/unit]]</f>
        <v>3.25</v>
      </c>
      <c r="K101">
        <f>Table32[[#This Row],[Revenue]]-Table32[[#This Row],[Cost]]</f>
        <v>2288</v>
      </c>
      <c r="L101" s="6">
        <f>Table32[[#This Row],[Net Profit]]/Table32[[#This Row],[Cost]]</f>
        <v>1.1818181818181819</v>
      </c>
      <c r="M101">
        <v>4224</v>
      </c>
      <c r="N101" s="7">
        <f>Table32[[#This Row],[Cost]]/Table32[[#This Row],[Units Sold]]</f>
        <v>2.75</v>
      </c>
      <c r="O101">
        <v>1936</v>
      </c>
      <c r="T101" s="1"/>
    </row>
    <row r="102" spans="1:20">
      <c r="A102">
        <v>3</v>
      </c>
      <c r="B102">
        <v>669715</v>
      </c>
      <c r="C102" t="s">
        <v>15</v>
      </c>
      <c r="D102" s="2">
        <v>1221</v>
      </c>
      <c r="E102" s="1">
        <v>43739</v>
      </c>
      <c r="F102">
        <v>1</v>
      </c>
      <c r="G102">
        <v>10</v>
      </c>
      <c r="H102">
        <v>2019</v>
      </c>
      <c r="I102" s="5">
        <f>(Table32[[#This Row],[Revenue]]/Table32[[#This Row],[Units Sold]])</f>
        <v>6</v>
      </c>
      <c r="J102" s="5">
        <f>Table32[[#This Row],[revenue/unit]]-Table32[[#This Row],[Cost/unit]]</f>
        <v>3.25</v>
      </c>
      <c r="K102">
        <f>Table32[[#This Row],[Revenue]]-Table32[[#This Row],[Cost]]</f>
        <v>3968.25</v>
      </c>
      <c r="L102" s="6">
        <f>Table32[[#This Row],[Net Profit]]/Table32[[#This Row],[Cost]]</f>
        <v>1.1818181818181819</v>
      </c>
      <c r="M102">
        <v>7326</v>
      </c>
      <c r="N102" s="7">
        <f>Table32[[#This Row],[Cost]]/Table32[[#This Row],[Units Sold]]</f>
        <v>2.75</v>
      </c>
      <c r="O102">
        <v>3357.75</v>
      </c>
      <c r="T102" s="1"/>
    </row>
    <row r="103" spans="1:20">
      <c r="A103">
        <v>1</v>
      </c>
      <c r="B103">
        <v>881268</v>
      </c>
      <c r="C103" t="s">
        <v>15</v>
      </c>
      <c r="D103" s="2">
        <v>2076</v>
      </c>
      <c r="E103" s="1">
        <v>43739</v>
      </c>
      <c r="F103">
        <v>1</v>
      </c>
      <c r="G103">
        <v>10</v>
      </c>
      <c r="H103">
        <v>2019</v>
      </c>
      <c r="I103" s="5">
        <f>(Table32[[#This Row],[Revenue]]/Table32[[#This Row],[Units Sold]])</f>
        <v>6</v>
      </c>
      <c r="J103" s="5">
        <f>Table32[[#This Row],[revenue/unit]]-Table32[[#This Row],[Cost/unit]]</f>
        <v>3.25</v>
      </c>
      <c r="K103">
        <f>Table32[[#This Row],[Revenue]]-Table32[[#This Row],[Cost]]</f>
        <v>6747</v>
      </c>
      <c r="L103" s="6">
        <f>Table32[[#This Row],[Net Profit]]/Table32[[#This Row],[Cost]]</f>
        <v>1.1818181818181819</v>
      </c>
      <c r="M103">
        <v>12456</v>
      </c>
      <c r="N103" s="7">
        <f>Table32[[#This Row],[Cost]]/Table32[[#This Row],[Units Sold]]</f>
        <v>2.75</v>
      </c>
      <c r="O103">
        <v>5709</v>
      </c>
      <c r="T103" s="1"/>
    </row>
    <row r="104" spans="1:20">
      <c r="A104">
        <v>3</v>
      </c>
      <c r="B104">
        <v>378254</v>
      </c>
      <c r="C104" t="s">
        <v>15</v>
      </c>
      <c r="D104" s="2">
        <v>2294</v>
      </c>
      <c r="E104" s="1">
        <v>43739</v>
      </c>
      <c r="F104">
        <v>1</v>
      </c>
      <c r="G104">
        <v>10</v>
      </c>
      <c r="H104">
        <v>2019</v>
      </c>
      <c r="I104" s="5">
        <f>(Table32[[#This Row],[Revenue]]/Table32[[#This Row],[Units Sold]])</f>
        <v>6</v>
      </c>
      <c r="J104" s="5">
        <f>Table32[[#This Row],[revenue/unit]]-Table32[[#This Row],[Cost/unit]]</f>
        <v>3.25</v>
      </c>
      <c r="K104">
        <f>Table32[[#This Row],[Revenue]]-Table32[[#This Row],[Cost]]</f>
        <v>7455.5</v>
      </c>
      <c r="L104" s="6">
        <f>Table32[[#This Row],[Net Profit]]/Table32[[#This Row],[Cost]]</f>
        <v>1.1818181818181819</v>
      </c>
      <c r="M104">
        <v>13764</v>
      </c>
      <c r="N104" s="7">
        <f>Table32[[#This Row],[Cost]]/Table32[[#This Row],[Units Sold]]</f>
        <v>2.75</v>
      </c>
      <c r="O104">
        <v>6308.5</v>
      </c>
      <c r="T104" s="1"/>
    </row>
    <row r="105" spans="1:20">
      <c r="A105">
        <v>5</v>
      </c>
      <c r="B105">
        <v>403071</v>
      </c>
      <c r="C105" t="s">
        <v>15</v>
      </c>
      <c r="D105" s="2">
        <v>344</v>
      </c>
      <c r="E105" s="1">
        <v>43739</v>
      </c>
      <c r="F105">
        <v>1</v>
      </c>
      <c r="G105">
        <v>10</v>
      </c>
      <c r="H105">
        <v>2019</v>
      </c>
      <c r="I105" s="5">
        <f>(Table32[[#This Row],[Revenue]]/Table32[[#This Row],[Units Sold]])</f>
        <v>6</v>
      </c>
      <c r="J105" s="5">
        <f>Table32[[#This Row],[revenue/unit]]-Table32[[#This Row],[Cost/unit]]</f>
        <v>3.25</v>
      </c>
      <c r="K105">
        <f>Table32[[#This Row],[Revenue]]-Table32[[#This Row],[Cost]]</f>
        <v>1118</v>
      </c>
      <c r="L105" s="6">
        <f>Table32[[#This Row],[Net Profit]]/Table32[[#This Row],[Cost]]</f>
        <v>1.1818181818181819</v>
      </c>
      <c r="M105">
        <v>2064</v>
      </c>
      <c r="N105" s="7">
        <f>Table32[[#This Row],[Cost]]/Table32[[#This Row],[Units Sold]]</f>
        <v>2.75</v>
      </c>
      <c r="O105">
        <v>946</v>
      </c>
      <c r="T105" s="1"/>
    </row>
    <row r="106" spans="1:20">
      <c r="A106">
        <v>2</v>
      </c>
      <c r="B106">
        <v>867907</v>
      </c>
      <c r="C106" t="s">
        <v>15</v>
      </c>
      <c r="D106" s="2">
        <v>269</v>
      </c>
      <c r="E106" s="1">
        <v>43739</v>
      </c>
      <c r="F106">
        <v>1</v>
      </c>
      <c r="G106">
        <v>10</v>
      </c>
      <c r="H106">
        <v>2019</v>
      </c>
      <c r="I106" s="5">
        <f>(Table32[[#This Row],[Revenue]]/Table32[[#This Row],[Units Sold]])</f>
        <v>6</v>
      </c>
      <c r="J106" s="5">
        <f>Table32[[#This Row],[revenue/unit]]-Table32[[#This Row],[Cost/unit]]</f>
        <v>3.25</v>
      </c>
      <c r="K106">
        <f>Table32[[#This Row],[Revenue]]-Table32[[#This Row],[Cost]]</f>
        <v>874.25</v>
      </c>
      <c r="L106" s="6">
        <f>Table32[[#This Row],[Net Profit]]/Table32[[#This Row],[Cost]]</f>
        <v>1.1818181818181819</v>
      </c>
      <c r="M106">
        <v>1614</v>
      </c>
      <c r="N106" s="7">
        <f>Table32[[#This Row],[Cost]]/Table32[[#This Row],[Units Sold]]</f>
        <v>2.75</v>
      </c>
      <c r="O106">
        <v>739.75</v>
      </c>
      <c r="T106" s="1"/>
    </row>
    <row r="107" spans="1:20">
      <c r="A107">
        <v>4</v>
      </c>
      <c r="B107">
        <v>289811</v>
      </c>
      <c r="C107" t="s">
        <v>10</v>
      </c>
      <c r="D107" s="2">
        <v>1725</v>
      </c>
      <c r="E107" s="1">
        <v>43770</v>
      </c>
      <c r="F107">
        <v>1</v>
      </c>
      <c r="G107">
        <v>11</v>
      </c>
      <c r="H107">
        <v>2019</v>
      </c>
      <c r="I107" s="5">
        <f>(Table32[[#This Row],[Revenue]]/Table32[[#This Row],[Units Sold]])</f>
        <v>5</v>
      </c>
      <c r="J107" s="5">
        <f>Table32[[#This Row],[revenue/unit]]-Table32[[#This Row],[Cost/unit]]</f>
        <v>3</v>
      </c>
      <c r="K107">
        <f>Table32[[#This Row],[Revenue]]-Table32[[#This Row],[Cost]]</f>
        <v>5175</v>
      </c>
      <c r="L107" s="6">
        <f>Table32[[#This Row],[Net Profit]]/Table32[[#This Row],[Cost]]</f>
        <v>1.5</v>
      </c>
      <c r="M107">
        <v>8625</v>
      </c>
      <c r="N107" s="7">
        <f>Table32[[#This Row],[Cost]]/Table32[[#This Row],[Units Sold]]</f>
        <v>2</v>
      </c>
      <c r="O107">
        <v>3450</v>
      </c>
      <c r="T107" s="1"/>
    </row>
    <row r="108" spans="1:20">
      <c r="A108">
        <v>1</v>
      </c>
      <c r="B108">
        <v>144696</v>
      </c>
      <c r="C108" t="s">
        <v>10</v>
      </c>
      <c r="D108" s="2">
        <v>912</v>
      </c>
      <c r="E108" s="1">
        <v>43770</v>
      </c>
      <c r="F108">
        <v>1</v>
      </c>
      <c r="G108">
        <v>11</v>
      </c>
      <c r="H108">
        <v>2019</v>
      </c>
      <c r="I108" s="5">
        <f>(Table32[[#This Row],[Revenue]]/Table32[[#This Row],[Units Sold]])</f>
        <v>5</v>
      </c>
      <c r="J108" s="5">
        <f>Table32[[#This Row],[revenue/unit]]-Table32[[#This Row],[Cost/unit]]</f>
        <v>3</v>
      </c>
      <c r="K108">
        <f>Table32[[#This Row],[Revenue]]-Table32[[#This Row],[Cost]]</f>
        <v>2736</v>
      </c>
      <c r="L108" s="6">
        <f>Table32[[#This Row],[Net Profit]]/Table32[[#This Row],[Cost]]</f>
        <v>1.5</v>
      </c>
      <c r="M108">
        <v>4560</v>
      </c>
      <c r="N108" s="7">
        <f>Table32[[#This Row],[Cost]]/Table32[[#This Row],[Units Sold]]</f>
        <v>2</v>
      </c>
      <c r="O108">
        <v>1824</v>
      </c>
      <c r="T108" s="1"/>
    </row>
    <row r="109" spans="1:20">
      <c r="A109">
        <v>1</v>
      </c>
      <c r="B109">
        <v>303687</v>
      </c>
      <c r="C109" t="s">
        <v>10</v>
      </c>
      <c r="D109" s="2">
        <v>1785</v>
      </c>
      <c r="E109" s="1">
        <v>43770</v>
      </c>
      <c r="F109">
        <v>1</v>
      </c>
      <c r="G109">
        <v>11</v>
      </c>
      <c r="H109">
        <v>2019</v>
      </c>
      <c r="I109" s="5">
        <f>(Table32[[#This Row],[Revenue]]/Table32[[#This Row],[Units Sold]])</f>
        <v>5</v>
      </c>
      <c r="J109" s="5">
        <f>Table32[[#This Row],[revenue/unit]]-Table32[[#This Row],[Cost/unit]]</f>
        <v>3</v>
      </c>
      <c r="K109">
        <f>Table32[[#This Row],[Revenue]]-Table32[[#This Row],[Cost]]</f>
        <v>5355</v>
      </c>
      <c r="L109" s="6">
        <f>Table32[[#This Row],[Net Profit]]/Table32[[#This Row],[Cost]]</f>
        <v>1.5</v>
      </c>
      <c r="M109">
        <v>8925</v>
      </c>
      <c r="N109" s="7">
        <f>Table32[[#This Row],[Cost]]/Table32[[#This Row],[Units Sold]]</f>
        <v>2</v>
      </c>
      <c r="O109">
        <v>3570</v>
      </c>
      <c r="T109" s="1"/>
    </row>
    <row r="110" spans="1:20">
      <c r="A110">
        <v>3</v>
      </c>
      <c r="B110">
        <v>521535</v>
      </c>
      <c r="C110" t="s">
        <v>10</v>
      </c>
      <c r="D110" s="2">
        <v>1404</v>
      </c>
      <c r="E110" s="1">
        <v>43770</v>
      </c>
      <c r="F110">
        <v>1</v>
      </c>
      <c r="G110">
        <v>11</v>
      </c>
      <c r="H110">
        <v>2019</v>
      </c>
      <c r="I110" s="5">
        <f>(Table32[[#This Row],[Revenue]]/Table32[[#This Row],[Units Sold]])</f>
        <v>5</v>
      </c>
      <c r="J110" s="5">
        <f>Table32[[#This Row],[revenue/unit]]-Table32[[#This Row],[Cost/unit]]</f>
        <v>3</v>
      </c>
      <c r="K110">
        <f>Table32[[#This Row],[Revenue]]-Table32[[#This Row],[Cost]]</f>
        <v>4212</v>
      </c>
      <c r="L110" s="6">
        <f>Table32[[#This Row],[Net Profit]]/Table32[[#This Row],[Cost]]</f>
        <v>1.5</v>
      </c>
      <c r="M110">
        <v>7020</v>
      </c>
      <c r="N110" s="7">
        <f>Table32[[#This Row],[Cost]]/Table32[[#This Row],[Units Sold]]</f>
        <v>2</v>
      </c>
      <c r="O110">
        <v>2808</v>
      </c>
      <c r="T110" s="1"/>
    </row>
    <row r="111" spans="1:20">
      <c r="A111">
        <v>5</v>
      </c>
      <c r="B111">
        <v>867252</v>
      </c>
      <c r="C111" t="s">
        <v>10</v>
      </c>
      <c r="D111" s="2">
        <v>2763</v>
      </c>
      <c r="E111" s="1">
        <v>43770</v>
      </c>
      <c r="F111">
        <v>1</v>
      </c>
      <c r="G111">
        <v>11</v>
      </c>
      <c r="H111">
        <v>2019</v>
      </c>
      <c r="I111" s="5">
        <f>(Table32[[#This Row],[Revenue]]/Table32[[#This Row],[Units Sold]])</f>
        <v>5</v>
      </c>
      <c r="J111" s="5">
        <f>Table32[[#This Row],[revenue/unit]]-Table32[[#This Row],[Cost/unit]]</f>
        <v>3</v>
      </c>
      <c r="K111">
        <f>Table32[[#This Row],[Revenue]]-Table32[[#This Row],[Cost]]</f>
        <v>8289</v>
      </c>
      <c r="L111" s="6">
        <f>Table32[[#This Row],[Net Profit]]/Table32[[#This Row],[Cost]]</f>
        <v>1.5</v>
      </c>
      <c r="M111">
        <v>13815</v>
      </c>
      <c r="N111" s="7">
        <f>Table32[[#This Row],[Cost]]/Table32[[#This Row],[Units Sold]]</f>
        <v>2</v>
      </c>
      <c r="O111">
        <v>5526</v>
      </c>
      <c r="T111" s="1"/>
    </row>
    <row r="112" spans="1:20">
      <c r="A112">
        <v>3</v>
      </c>
      <c r="B112">
        <v>263663</v>
      </c>
      <c r="C112" t="s">
        <v>10</v>
      </c>
      <c r="D112" s="2">
        <v>2146</v>
      </c>
      <c r="E112" s="1">
        <v>43770</v>
      </c>
      <c r="F112">
        <v>1</v>
      </c>
      <c r="G112">
        <v>11</v>
      </c>
      <c r="H112">
        <v>2019</v>
      </c>
      <c r="I112" s="5">
        <f>(Table32[[#This Row],[Revenue]]/Table32[[#This Row],[Units Sold]])</f>
        <v>5</v>
      </c>
      <c r="J112" s="5">
        <f>Table32[[#This Row],[revenue/unit]]-Table32[[#This Row],[Cost/unit]]</f>
        <v>3</v>
      </c>
      <c r="K112">
        <f>Table32[[#This Row],[Revenue]]-Table32[[#This Row],[Cost]]</f>
        <v>6438</v>
      </c>
      <c r="L112" s="6">
        <f>Table32[[#This Row],[Net Profit]]/Table32[[#This Row],[Cost]]</f>
        <v>1.5</v>
      </c>
      <c r="M112">
        <v>10730</v>
      </c>
      <c r="N112" s="7">
        <f>Table32[[#This Row],[Cost]]/Table32[[#This Row],[Units Sold]]</f>
        <v>2</v>
      </c>
      <c r="O112">
        <v>4292</v>
      </c>
      <c r="T112" s="1"/>
    </row>
    <row r="113" spans="1:20">
      <c r="A113">
        <v>3</v>
      </c>
      <c r="B113">
        <v>839631</v>
      </c>
      <c r="C113" t="s">
        <v>10</v>
      </c>
      <c r="D113" s="2">
        <v>1775</v>
      </c>
      <c r="E113" s="1">
        <v>43770</v>
      </c>
      <c r="F113">
        <v>1</v>
      </c>
      <c r="G113">
        <v>11</v>
      </c>
      <c r="H113">
        <v>2019</v>
      </c>
      <c r="I113" s="5">
        <f>(Table32[[#This Row],[Revenue]]/Table32[[#This Row],[Units Sold]])</f>
        <v>5</v>
      </c>
      <c r="J113" s="5">
        <f>Table32[[#This Row],[revenue/unit]]-Table32[[#This Row],[Cost/unit]]</f>
        <v>3</v>
      </c>
      <c r="K113">
        <f>Table32[[#This Row],[Revenue]]-Table32[[#This Row],[Cost]]</f>
        <v>5325</v>
      </c>
      <c r="L113" s="6">
        <f>Table32[[#This Row],[Net Profit]]/Table32[[#This Row],[Cost]]</f>
        <v>1.5</v>
      </c>
      <c r="M113">
        <v>8875</v>
      </c>
      <c r="N113" s="7">
        <f>Table32[[#This Row],[Cost]]/Table32[[#This Row],[Units Sold]]</f>
        <v>2</v>
      </c>
      <c r="O113">
        <v>3550</v>
      </c>
      <c r="T113" s="1"/>
    </row>
    <row r="114" spans="1:20">
      <c r="A114">
        <v>4</v>
      </c>
      <c r="B114">
        <v>754823</v>
      </c>
      <c r="C114" t="s">
        <v>10</v>
      </c>
      <c r="D114" s="2">
        <v>2222</v>
      </c>
      <c r="E114" s="1">
        <v>43770</v>
      </c>
      <c r="F114">
        <v>1</v>
      </c>
      <c r="G114">
        <v>11</v>
      </c>
      <c r="H114">
        <v>2019</v>
      </c>
      <c r="I114" s="5">
        <f>(Table32[[#This Row],[Revenue]]/Table32[[#This Row],[Units Sold]])</f>
        <v>5</v>
      </c>
      <c r="J114" s="5">
        <f>Table32[[#This Row],[revenue/unit]]-Table32[[#This Row],[Cost/unit]]</f>
        <v>3</v>
      </c>
      <c r="K114">
        <f>Table32[[#This Row],[Revenue]]-Table32[[#This Row],[Cost]]</f>
        <v>6666</v>
      </c>
      <c r="L114" s="6">
        <f>Table32[[#This Row],[Net Profit]]/Table32[[#This Row],[Cost]]</f>
        <v>1.5</v>
      </c>
      <c r="M114">
        <v>11110</v>
      </c>
      <c r="N114" s="7">
        <f>Table32[[#This Row],[Cost]]/Table32[[#This Row],[Units Sold]]</f>
        <v>2</v>
      </c>
      <c r="O114">
        <v>4444</v>
      </c>
      <c r="T114" s="1"/>
    </row>
    <row r="115" spans="1:20">
      <c r="A115">
        <v>5</v>
      </c>
      <c r="B115">
        <v>364025</v>
      </c>
      <c r="C115" t="s">
        <v>10</v>
      </c>
      <c r="D115" s="2">
        <v>1922</v>
      </c>
      <c r="E115" s="1">
        <v>43770</v>
      </c>
      <c r="F115">
        <v>1</v>
      </c>
      <c r="G115">
        <v>11</v>
      </c>
      <c r="H115">
        <v>2019</v>
      </c>
      <c r="I115" s="5">
        <f>(Table32[[#This Row],[Revenue]]/Table32[[#This Row],[Units Sold]])</f>
        <v>5</v>
      </c>
      <c r="J115" s="5">
        <f>Table32[[#This Row],[revenue/unit]]-Table32[[#This Row],[Cost/unit]]</f>
        <v>3</v>
      </c>
      <c r="K115">
        <f>Table32[[#This Row],[Revenue]]-Table32[[#This Row],[Cost]]</f>
        <v>5766</v>
      </c>
      <c r="L115" s="6">
        <f>Table32[[#This Row],[Net Profit]]/Table32[[#This Row],[Cost]]</f>
        <v>1.5</v>
      </c>
      <c r="M115">
        <v>9610</v>
      </c>
      <c r="N115" s="7">
        <f>Table32[[#This Row],[Cost]]/Table32[[#This Row],[Units Sold]]</f>
        <v>2</v>
      </c>
      <c r="O115">
        <v>3844</v>
      </c>
      <c r="T115" s="1"/>
    </row>
    <row r="116" spans="1:20">
      <c r="A116">
        <v>5</v>
      </c>
      <c r="B116">
        <v>117162</v>
      </c>
      <c r="C116" t="s">
        <v>10</v>
      </c>
      <c r="D116" s="2">
        <v>2007</v>
      </c>
      <c r="E116" s="1">
        <v>43770</v>
      </c>
      <c r="F116">
        <v>1</v>
      </c>
      <c r="G116">
        <v>11</v>
      </c>
      <c r="H116">
        <v>2019</v>
      </c>
      <c r="I116" s="5">
        <f>(Table32[[#This Row],[Revenue]]/Table32[[#This Row],[Units Sold]])</f>
        <v>5</v>
      </c>
      <c r="J116" s="5">
        <f>Table32[[#This Row],[revenue/unit]]-Table32[[#This Row],[Cost/unit]]</f>
        <v>3</v>
      </c>
      <c r="K116">
        <f>Table32[[#This Row],[Revenue]]-Table32[[#This Row],[Cost]]</f>
        <v>6021</v>
      </c>
      <c r="L116" s="6">
        <f>Table32[[#This Row],[Net Profit]]/Table32[[#This Row],[Cost]]</f>
        <v>1.5</v>
      </c>
      <c r="M116">
        <v>10035</v>
      </c>
      <c r="N116" s="7">
        <f>Table32[[#This Row],[Cost]]/Table32[[#This Row],[Units Sold]]</f>
        <v>2</v>
      </c>
      <c r="O116">
        <v>4014</v>
      </c>
      <c r="T116" s="1"/>
    </row>
    <row r="117" spans="1:20">
      <c r="A117">
        <v>3</v>
      </c>
      <c r="B117">
        <v>708450</v>
      </c>
      <c r="C117" t="s">
        <v>10</v>
      </c>
      <c r="D117" s="2">
        <v>2151</v>
      </c>
      <c r="E117" s="1">
        <v>43770</v>
      </c>
      <c r="F117">
        <v>1</v>
      </c>
      <c r="G117">
        <v>11</v>
      </c>
      <c r="H117">
        <v>2019</v>
      </c>
      <c r="I117" s="5">
        <f>(Table32[[#This Row],[Revenue]]/Table32[[#This Row],[Units Sold]])</f>
        <v>5</v>
      </c>
      <c r="J117" s="5">
        <f>Table32[[#This Row],[revenue/unit]]-Table32[[#This Row],[Cost/unit]]</f>
        <v>3</v>
      </c>
      <c r="K117">
        <f>Table32[[#This Row],[Revenue]]-Table32[[#This Row],[Cost]]</f>
        <v>6453</v>
      </c>
      <c r="L117" s="6">
        <f>Table32[[#This Row],[Net Profit]]/Table32[[#This Row],[Cost]]</f>
        <v>1.5</v>
      </c>
      <c r="M117">
        <v>10755</v>
      </c>
      <c r="N117" s="7">
        <f>Table32[[#This Row],[Cost]]/Table32[[#This Row],[Units Sold]]</f>
        <v>2</v>
      </c>
      <c r="O117">
        <v>4302</v>
      </c>
      <c r="T117" s="1"/>
    </row>
    <row r="118" spans="1:20">
      <c r="A118">
        <v>4</v>
      </c>
      <c r="B118">
        <v>113657</v>
      </c>
      <c r="C118" t="s">
        <v>11</v>
      </c>
      <c r="D118" s="2">
        <v>1660</v>
      </c>
      <c r="E118" s="1">
        <v>43770</v>
      </c>
      <c r="F118">
        <v>1</v>
      </c>
      <c r="G118">
        <v>11</v>
      </c>
      <c r="H118">
        <v>2019</v>
      </c>
      <c r="I118" s="5">
        <f>(Table32[[#This Row],[Revenue]]/Table32[[#This Row],[Units Sold]])</f>
        <v>1</v>
      </c>
      <c r="J118" s="5">
        <f>Table32[[#This Row],[revenue/unit]]-Table32[[#This Row],[Cost/unit]]</f>
        <v>0.5</v>
      </c>
      <c r="K118">
        <f>Table32[[#This Row],[Revenue]]-Table32[[#This Row],[Cost]]</f>
        <v>830</v>
      </c>
      <c r="L118" s="6">
        <f>Table32[[#This Row],[Net Profit]]/Table32[[#This Row],[Cost]]</f>
        <v>1</v>
      </c>
      <c r="M118">
        <v>1660</v>
      </c>
      <c r="N118" s="7">
        <f>Table32[[#This Row],[Cost]]/Table32[[#This Row],[Units Sold]]</f>
        <v>0.5</v>
      </c>
      <c r="O118">
        <v>830</v>
      </c>
      <c r="T118" s="1"/>
    </row>
    <row r="119" spans="1:20">
      <c r="A119">
        <v>4</v>
      </c>
      <c r="B119">
        <v>443834</v>
      </c>
      <c r="C119" t="s">
        <v>11</v>
      </c>
      <c r="D119" s="2">
        <v>2500</v>
      </c>
      <c r="E119" s="1">
        <v>43770</v>
      </c>
      <c r="F119">
        <v>1</v>
      </c>
      <c r="G119">
        <v>11</v>
      </c>
      <c r="H119">
        <v>2019</v>
      </c>
      <c r="I119" s="5">
        <f>(Table32[[#This Row],[Revenue]]/Table32[[#This Row],[Units Sold]])</f>
        <v>1</v>
      </c>
      <c r="J119" s="5">
        <f>Table32[[#This Row],[revenue/unit]]-Table32[[#This Row],[Cost/unit]]</f>
        <v>0.5</v>
      </c>
      <c r="K119">
        <f>Table32[[#This Row],[Revenue]]-Table32[[#This Row],[Cost]]</f>
        <v>1250</v>
      </c>
      <c r="L119" s="6">
        <f>Table32[[#This Row],[Net Profit]]/Table32[[#This Row],[Cost]]</f>
        <v>1</v>
      </c>
      <c r="M119">
        <v>2500</v>
      </c>
      <c r="N119" s="7">
        <f>Table32[[#This Row],[Cost]]/Table32[[#This Row],[Units Sold]]</f>
        <v>0.5</v>
      </c>
      <c r="O119">
        <v>1250</v>
      </c>
      <c r="T119" s="1"/>
    </row>
    <row r="120" spans="1:20">
      <c r="A120">
        <v>3</v>
      </c>
      <c r="B120">
        <v>431913</v>
      </c>
      <c r="C120" t="s">
        <v>11</v>
      </c>
      <c r="D120" s="2">
        <v>1857</v>
      </c>
      <c r="E120" s="1">
        <v>43770</v>
      </c>
      <c r="F120">
        <v>1</v>
      </c>
      <c r="G120">
        <v>11</v>
      </c>
      <c r="H120">
        <v>2019</v>
      </c>
      <c r="I120" s="5">
        <f>(Table32[[#This Row],[Revenue]]/Table32[[#This Row],[Units Sold]])</f>
        <v>1</v>
      </c>
      <c r="J120" s="5">
        <f>Table32[[#This Row],[revenue/unit]]-Table32[[#This Row],[Cost/unit]]</f>
        <v>0.5</v>
      </c>
      <c r="K120">
        <f>Table32[[#This Row],[Revenue]]-Table32[[#This Row],[Cost]]</f>
        <v>928.5</v>
      </c>
      <c r="L120" s="6">
        <f>Table32[[#This Row],[Net Profit]]/Table32[[#This Row],[Cost]]</f>
        <v>1</v>
      </c>
      <c r="M120">
        <v>1857</v>
      </c>
      <c r="N120" s="7">
        <f>Table32[[#This Row],[Cost]]/Table32[[#This Row],[Units Sold]]</f>
        <v>0.5</v>
      </c>
      <c r="O120">
        <v>928.5</v>
      </c>
      <c r="T120" s="1"/>
    </row>
    <row r="121" spans="1:20">
      <c r="A121">
        <v>5</v>
      </c>
      <c r="B121">
        <v>352793</v>
      </c>
      <c r="C121" t="s">
        <v>11</v>
      </c>
      <c r="D121" s="2">
        <v>1804</v>
      </c>
      <c r="E121" s="1">
        <v>43770</v>
      </c>
      <c r="F121">
        <v>1</v>
      </c>
      <c r="G121">
        <v>11</v>
      </c>
      <c r="H121">
        <v>2019</v>
      </c>
      <c r="I121" s="5">
        <f>(Table32[[#This Row],[Revenue]]/Table32[[#This Row],[Units Sold]])</f>
        <v>1</v>
      </c>
      <c r="J121" s="5">
        <f>Table32[[#This Row],[revenue/unit]]-Table32[[#This Row],[Cost/unit]]</f>
        <v>0.5</v>
      </c>
      <c r="K121">
        <f>Table32[[#This Row],[Revenue]]-Table32[[#This Row],[Cost]]</f>
        <v>902</v>
      </c>
      <c r="L121" s="6">
        <f>Table32[[#This Row],[Net Profit]]/Table32[[#This Row],[Cost]]</f>
        <v>1</v>
      </c>
      <c r="M121">
        <v>1804</v>
      </c>
      <c r="N121" s="7">
        <f>Table32[[#This Row],[Cost]]/Table32[[#This Row],[Units Sold]]</f>
        <v>0.5</v>
      </c>
      <c r="O121">
        <v>902</v>
      </c>
      <c r="T121" s="1"/>
    </row>
    <row r="122" spans="1:20">
      <c r="A122">
        <v>4</v>
      </c>
      <c r="B122">
        <v>182735</v>
      </c>
      <c r="C122" t="s">
        <v>12</v>
      </c>
      <c r="D122" s="2">
        <v>321</v>
      </c>
      <c r="E122" s="1">
        <v>43770</v>
      </c>
      <c r="F122">
        <v>1</v>
      </c>
      <c r="G122">
        <v>11</v>
      </c>
      <c r="H122">
        <v>2019</v>
      </c>
      <c r="I122" s="5">
        <f>(Table32[[#This Row],[Revenue]]/Table32[[#This Row],[Units Sold]])</f>
        <v>5</v>
      </c>
      <c r="J122" s="5">
        <f>Table32[[#This Row],[revenue/unit]]-Table32[[#This Row],[Cost/unit]]</f>
        <v>2.8</v>
      </c>
      <c r="K122">
        <f>Table32[[#This Row],[Revenue]]-Table32[[#This Row],[Cost]]</f>
        <v>898.8</v>
      </c>
      <c r="L122" s="6">
        <f>Table32[[#This Row],[Net Profit]]/Table32[[#This Row],[Cost]]</f>
        <v>1.2727272727272725</v>
      </c>
      <c r="M122">
        <v>1605</v>
      </c>
      <c r="N122" s="7">
        <f>Table32[[#This Row],[Cost]]/Table32[[#This Row],[Units Sold]]</f>
        <v>2.2000000000000002</v>
      </c>
      <c r="O122">
        <v>706.2</v>
      </c>
      <c r="T122" s="1"/>
    </row>
    <row r="123" spans="1:20">
      <c r="A123">
        <v>4</v>
      </c>
      <c r="B123">
        <v>256775</v>
      </c>
      <c r="C123" t="s">
        <v>12</v>
      </c>
      <c r="D123" s="2">
        <v>970</v>
      </c>
      <c r="E123" s="1">
        <v>43770</v>
      </c>
      <c r="F123">
        <v>1</v>
      </c>
      <c r="G123">
        <v>11</v>
      </c>
      <c r="H123">
        <v>2019</v>
      </c>
      <c r="I123" s="5">
        <f>(Table32[[#This Row],[Revenue]]/Table32[[#This Row],[Units Sold]])</f>
        <v>5</v>
      </c>
      <c r="J123" s="5">
        <f>Table32[[#This Row],[revenue/unit]]-Table32[[#This Row],[Cost/unit]]</f>
        <v>2.8</v>
      </c>
      <c r="K123">
        <f>Table32[[#This Row],[Revenue]]-Table32[[#This Row],[Cost]]</f>
        <v>2716</v>
      </c>
      <c r="L123" s="6">
        <f>Table32[[#This Row],[Net Profit]]/Table32[[#This Row],[Cost]]</f>
        <v>1.2727272727272727</v>
      </c>
      <c r="M123">
        <v>4850</v>
      </c>
      <c r="N123" s="7">
        <f>Table32[[#This Row],[Cost]]/Table32[[#This Row],[Units Sold]]</f>
        <v>2.2000000000000002</v>
      </c>
      <c r="O123">
        <v>2134</v>
      </c>
      <c r="T123" s="1"/>
    </row>
    <row r="124" spans="1:20">
      <c r="A124">
        <v>4</v>
      </c>
      <c r="B124">
        <v>519269</v>
      </c>
      <c r="C124" t="s">
        <v>12</v>
      </c>
      <c r="D124" s="2">
        <v>2548</v>
      </c>
      <c r="E124" s="1">
        <v>43770</v>
      </c>
      <c r="F124">
        <v>1</v>
      </c>
      <c r="G124">
        <v>11</v>
      </c>
      <c r="H124">
        <v>2019</v>
      </c>
      <c r="I124" s="5">
        <f>(Table32[[#This Row],[Revenue]]/Table32[[#This Row],[Units Sold]])</f>
        <v>5</v>
      </c>
      <c r="J124" s="5">
        <f>Table32[[#This Row],[revenue/unit]]-Table32[[#This Row],[Cost/unit]]</f>
        <v>2.8</v>
      </c>
      <c r="K124">
        <f>Table32[[#This Row],[Revenue]]-Table32[[#This Row],[Cost]]</f>
        <v>7134.4</v>
      </c>
      <c r="L124" s="6">
        <f>Table32[[#This Row],[Net Profit]]/Table32[[#This Row],[Cost]]</f>
        <v>1.2727272727272725</v>
      </c>
      <c r="M124">
        <v>12740</v>
      </c>
      <c r="N124" s="7">
        <f>Table32[[#This Row],[Cost]]/Table32[[#This Row],[Units Sold]]</f>
        <v>2.2000000000000002</v>
      </c>
      <c r="O124">
        <v>5605.6</v>
      </c>
      <c r="T124" s="1"/>
    </row>
    <row r="125" spans="1:20">
      <c r="A125">
        <v>2</v>
      </c>
      <c r="B125">
        <v>227896</v>
      </c>
      <c r="C125" t="s">
        <v>12</v>
      </c>
      <c r="D125" s="2">
        <v>1870</v>
      </c>
      <c r="E125" s="1">
        <v>43770</v>
      </c>
      <c r="F125">
        <v>1</v>
      </c>
      <c r="G125">
        <v>11</v>
      </c>
      <c r="H125">
        <v>2019</v>
      </c>
      <c r="I125" s="5">
        <f>(Table32[[#This Row],[Revenue]]/Table32[[#This Row],[Units Sold]])</f>
        <v>5</v>
      </c>
      <c r="J125" s="5">
        <f>Table32[[#This Row],[revenue/unit]]-Table32[[#This Row],[Cost/unit]]</f>
        <v>2.8</v>
      </c>
      <c r="K125">
        <f>Table32[[#This Row],[Revenue]]-Table32[[#This Row],[Cost]]</f>
        <v>5236</v>
      </c>
      <c r="L125" s="6">
        <f>Table32[[#This Row],[Net Profit]]/Table32[[#This Row],[Cost]]</f>
        <v>1.2727272727272727</v>
      </c>
      <c r="M125">
        <v>9350</v>
      </c>
      <c r="N125" s="7">
        <f>Table32[[#This Row],[Cost]]/Table32[[#This Row],[Units Sold]]</f>
        <v>2.2000000000000002</v>
      </c>
      <c r="O125">
        <v>4114</v>
      </c>
      <c r="T125" s="1"/>
    </row>
    <row r="126" spans="1:20">
      <c r="A126">
        <v>4</v>
      </c>
      <c r="B126">
        <v>403455</v>
      </c>
      <c r="C126" t="s">
        <v>13</v>
      </c>
      <c r="D126" s="2">
        <v>2145</v>
      </c>
      <c r="E126" s="1">
        <v>43770</v>
      </c>
      <c r="F126">
        <v>1</v>
      </c>
      <c r="G126">
        <v>11</v>
      </c>
      <c r="H126">
        <v>2019</v>
      </c>
      <c r="I126" s="5">
        <f>(Table32[[#This Row],[Revenue]]/Table32[[#This Row],[Units Sold]])</f>
        <v>4</v>
      </c>
      <c r="J126" s="5">
        <f>Table32[[#This Row],[revenue/unit]]-Table32[[#This Row],[Cost/unit]]</f>
        <v>2.5</v>
      </c>
      <c r="K126">
        <f>Table32[[#This Row],[Revenue]]-Table32[[#This Row],[Cost]]</f>
        <v>5362.5</v>
      </c>
      <c r="L126" s="6">
        <f>Table32[[#This Row],[Net Profit]]/Table32[[#This Row],[Cost]]</f>
        <v>1.6666666666666667</v>
      </c>
      <c r="M126">
        <v>8580</v>
      </c>
      <c r="N126" s="7">
        <f>Table32[[#This Row],[Cost]]/Table32[[#This Row],[Units Sold]]</f>
        <v>1.5</v>
      </c>
      <c r="O126">
        <v>3217.5</v>
      </c>
      <c r="T126" s="1"/>
    </row>
    <row r="127" spans="1:20">
      <c r="A127">
        <v>2</v>
      </c>
      <c r="B127">
        <v>296951</v>
      </c>
      <c r="C127" t="s">
        <v>13</v>
      </c>
      <c r="D127" s="2">
        <v>1016</v>
      </c>
      <c r="E127" s="1">
        <v>43770</v>
      </c>
      <c r="F127">
        <v>1</v>
      </c>
      <c r="G127">
        <v>11</v>
      </c>
      <c r="H127">
        <v>2019</v>
      </c>
      <c r="I127" s="5">
        <f>(Table32[[#This Row],[Revenue]]/Table32[[#This Row],[Units Sold]])</f>
        <v>4</v>
      </c>
      <c r="J127" s="5">
        <f>Table32[[#This Row],[revenue/unit]]-Table32[[#This Row],[Cost/unit]]</f>
        <v>2.5</v>
      </c>
      <c r="K127">
        <f>Table32[[#This Row],[Revenue]]-Table32[[#This Row],[Cost]]</f>
        <v>2540</v>
      </c>
      <c r="L127" s="6">
        <f>Table32[[#This Row],[Net Profit]]/Table32[[#This Row],[Cost]]</f>
        <v>1.6666666666666667</v>
      </c>
      <c r="M127">
        <v>4064</v>
      </c>
      <c r="N127" s="7">
        <f>Table32[[#This Row],[Cost]]/Table32[[#This Row],[Units Sold]]</f>
        <v>1.5</v>
      </c>
      <c r="O127">
        <v>1524</v>
      </c>
      <c r="T127" s="1"/>
    </row>
    <row r="128" spans="1:20">
      <c r="A128">
        <v>4</v>
      </c>
      <c r="B128">
        <v>680427</v>
      </c>
      <c r="C128" t="s">
        <v>13</v>
      </c>
      <c r="D128" s="2">
        <v>263</v>
      </c>
      <c r="E128" s="1">
        <v>43770</v>
      </c>
      <c r="F128">
        <v>1</v>
      </c>
      <c r="G128">
        <v>11</v>
      </c>
      <c r="H128">
        <v>2019</v>
      </c>
      <c r="I128" s="5">
        <f>(Table32[[#This Row],[Revenue]]/Table32[[#This Row],[Units Sold]])</f>
        <v>4</v>
      </c>
      <c r="J128" s="5">
        <f>Table32[[#This Row],[revenue/unit]]-Table32[[#This Row],[Cost/unit]]</f>
        <v>2.5</v>
      </c>
      <c r="K128">
        <f>Table32[[#This Row],[Revenue]]-Table32[[#This Row],[Cost]]</f>
        <v>657.5</v>
      </c>
      <c r="L128" s="6">
        <f>Table32[[#This Row],[Net Profit]]/Table32[[#This Row],[Cost]]</f>
        <v>1.6666666666666667</v>
      </c>
      <c r="M128">
        <v>1052</v>
      </c>
      <c r="N128" s="7">
        <f>Table32[[#This Row],[Cost]]/Table32[[#This Row],[Units Sold]]</f>
        <v>1.5</v>
      </c>
      <c r="O128">
        <v>394.5</v>
      </c>
      <c r="T128" s="1"/>
    </row>
    <row r="129" spans="1:20">
      <c r="A129">
        <v>3</v>
      </c>
      <c r="B129">
        <v>607051</v>
      </c>
      <c r="C129" t="s">
        <v>13</v>
      </c>
      <c r="D129" s="2">
        <v>1560</v>
      </c>
      <c r="E129" s="1">
        <v>43770</v>
      </c>
      <c r="F129">
        <v>1</v>
      </c>
      <c r="G129">
        <v>11</v>
      </c>
      <c r="H129">
        <v>2019</v>
      </c>
      <c r="I129" s="5">
        <f>(Table32[[#This Row],[Revenue]]/Table32[[#This Row],[Units Sold]])</f>
        <v>4</v>
      </c>
      <c r="J129" s="5">
        <f>Table32[[#This Row],[revenue/unit]]-Table32[[#This Row],[Cost/unit]]</f>
        <v>2.5</v>
      </c>
      <c r="K129">
        <f>Table32[[#This Row],[Revenue]]-Table32[[#This Row],[Cost]]</f>
        <v>3900</v>
      </c>
      <c r="L129" s="6">
        <f>Table32[[#This Row],[Net Profit]]/Table32[[#This Row],[Cost]]</f>
        <v>1.6666666666666667</v>
      </c>
      <c r="M129">
        <v>6240</v>
      </c>
      <c r="N129" s="7">
        <f>Table32[[#This Row],[Cost]]/Table32[[#This Row],[Units Sold]]</f>
        <v>1.5</v>
      </c>
      <c r="O129">
        <v>2340</v>
      </c>
      <c r="T129" s="1"/>
    </row>
    <row r="130" spans="1:20">
      <c r="A130">
        <v>5</v>
      </c>
      <c r="B130">
        <v>535522</v>
      </c>
      <c r="C130" t="s">
        <v>13</v>
      </c>
      <c r="D130" s="2">
        <v>2706</v>
      </c>
      <c r="E130" s="1">
        <v>43770</v>
      </c>
      <c r="F130">
        <v>1</v>
      </c>
      <c r="G130">
        <v>11</v>
      </c>
      <c r="H130">
        <v>2019</v>
      </c>
      <c r="I130" s="5">
        <f>(Table32[[#This Row],[Revenue]]/Table32[[#This Row],[Units Sold]])</f>
        <v>4</v>
      </c>
      <c r="J130" s="5">
        <f>Table32[[#This Row],[revenue/unit]]-Table32[[#This Row],[Cost/unit]]</f>
        <v>2.5</v>
      </c>
      <c r="K130">
        <f>Table32[[#This Row],[Revenue]]-Table32[[#This Row],[Cost]]</f>
        <v>6765</v>
      </c>
      <c r="L130" s="6">
        <f>Table32[[#This Row],[Net Profit]]/Table32[[#This Row],[Cost]]</f>
        <v>1.6666666666666667</v>
      </c>
      <c r="M130">
        <v>10824</v>
      </c>
      <c r="N130" s="7">
        <f>Table32[[#This Row],[Cost]]/Table32[[#This Row],[Units Sold]]</f>
        <v>1.5</v>
      </c>
      <c r="O130">
        <v>4059</v>
      </c>
      <c r="T130" s="1"/>
    </row>
    <row r="131" spans="1:20">
      <c r="A131">
        <v>3</v>
      </c>
      <c r="B131">
        <v>646205</v>
      </c>
      <c r="C131" t="s">
        <v>14</v>
      </c>
      <c r="D131" s="2">
        <v>1265</v>
      </c>
      <c r="E131" s="1">
        <v>43770</v>
      </c>
      <c r="F131">
        <v>1</v>
      </c>
      <c r="G131">
        <v>11</v>
      </c>
      <c r="H131">
        <v>2019</v>
      </c>
      <c r="I131" s="5">
        <f>(Table32[[#This Row],[Revenue]]/Table32[[#This Row],[Units Sold]])</f>
        <v>3</v>
      </c>
      <c r="J131" s="5">
        <f>Table32[[#This Row],[revenue/unit]]-Table32[[#This Row],[Cost/unit]]</f>
        <v>1.75</v>
      </c>
      <c r="K131">
        <f>Table32[[#This Row],[Revenue]]-Table32[[#This Row],[Cost]]</f>
        <v>2213.75</v>
      </c>
      <c r="L131" s="6">
        <f>Table32[[#This Row],[Net Profit]]/Table32[[#This Row],[Cost]]</f>
        <v>1.4</v>
      </c>
      <c r="M131">
        <v>3795</v>
      </c>
      <c r="N131" s="7">
        <f>Table32[[#This Row],[Cost]]/Table32[[#This Row],[Units Sold]]</f>
        <v>1.25</v>
      </c>
      <c r="O131">
        <v>1581.25</v>
      </c>
      <c r="T131" s="1"/>
    </row>
    <row r="132" spans="1:20">
      <c r="A132">
        <v>1</v>
      </c>
      <c r="B132">
        <v>872775</v>
      </c>
      <c r="C132" t="s">
        <v>14</v>
      </c>
      <c r="D132" s="2">
        <v>2297</v>
      </c>
      <c r="E132" s="1">
        <v>43770</v>
      </c>
      <c r="F132">
        <v>1</v>
      </c>
      <c r="G132">
        <v>11</v>
      </c>
      <c r="H132">
        <v>2019</v>
      </c>
      <c r="I132" s="5">
        <f>(Table32[[#This Row],[Revenue]]/Table32[[#This Row],[Units Sold]])</f>
        <v>3</v>
      </c>
      <c r="J132" s="5">
        <f>Table32[[#This Row],[revenue/unit]]-Table32[[#This Row],[Cost/unit]]</f>
        <v>1.75</v>
      </c>
      <c r="K132">
        <f>Table32[[#This Row],[Revenue]]-Table32[[#This Row],[Cost]]</f>
        <v>4019.75</v>
      </c>
      <c r="L132" s="6">
        <f>Table32[[#This Row],[Net Profit]]/Table32[[#This Row],[Cost]]</f>
        <v>1.4</v>
      </c>
      <c r="M132">
        <v>6891</v>
      </c>
      <c r="N132" s="7">
        <f>Table32[[#This Row],[Cost]]/Table32[[#This Row],[Units Sold]]</f>
        <v>1.25</v>
      </c>
      <c r="O132">
        <v>2871.25</v>
      </c>
      <c r="T132" s="1"/>
    </row>
    <row r="133" spans="1:20">
      <c r="A133">
        <v>5</v>
      </c>
      <c r="B133">
        <v>441711</v>
      </c>
      <c r="C133" t="s">
        <v>14</v>
      </c>
      <c r="D133" s="2">
        <v>1123</v>
      </c>
      <c r="E133" s="1">
        <v>43770</v>
      </c>
      <c r="F133">
        <v>1</v>
      </c>
      <c r="G133">
        <v>11</v>
      </c>
      <c r="H133">
        <v>2019</v>
      </c>
      <c r="I133" s="5">
        <f>(Table32[[#This Row],[Revenue]]/Table32[[#This Row],[Units Sold]])</f>
        <v>3</v>
      </c>
      <c r="J133" s="5">
        <f>Table32[[#This Row],[revenue/unit]]-Table32[[#This Row],[Cost/unit]]</f>
        <v>1.75</v>
      </c>
      <c r="K133">
        <f>Table32[[#This Row],[Revenue]]-Table32[[#This Row],[Cost]]</f>
        <v>1965.25</v>
      </c>
      <c r="L133" s="6">
        <f>Table32[[#This Row],[Net Profit]]/Table32[[#This Row],[Cost]]</f>
        <v>1.4</v>
      </c>
      <c r="M133">
        <v>3369</v>
      </c>
      <c r="N133" s="7">
        <f>Table32[[#This Row],[Cost]]/Table32[[#This Row],[Units Sold]]</f>
        <v>1.25</v>
      </c>
      <c r="O133">
        <v>1403.75</v>
      </c>
      <c r="T133" s="1"/>
    </row>
    <row r="134" spans="1:20">
      <c r="A134">
        <v>4</v>
      </c>
      <c r="B134">
        <v>750389</v>
      </c>
      <c r="C134" t="s">
        <v>14</v>
      </c>
      <c r="D134" s="2">
        <v>2682</v>
      </c>
      <c r="E134" s="1">
        <v>43770</v>
      </c>
      <c r="F134">
        <v>1</v>
      </c>
      <c r="G134">
        <v>11</v>
      </c>
      <c r="H134">
        <v>2019</v>
      </c>
      <c r="I134" s="5">
        <f>(Table32[[#This Row],[Revenue]]/Table32[[#This Row],[Units Sold]])</f>
        <v>3</v>
      </c>
      <c r="J134" s="5">
        <f>Table32[[#This Row],[revenue/unit]]-Table32[[#This Row],[Cost/unit]]</f>
        <v>1.75</v>
      </c>
      <c r="K134">
        <f>Table32[[#This Row],[Revenue]]-Table32[[#This Row],[Cost]]</f>
        <v>4693.5</v>
      </c>
      <c r="L134" s="6">
        <f>Table32[[#This Row],[Net Profit]]/Table32[[#This Row],[Cost]]</f>
        <v>1.4</v>
      </c>
      <c r="M134">
        <v>8046</v>
      </c>
      <c r="N134" s="7">
        <f>Table32[[#This Row],[Cost]]/Table32[[#This Row],[Units Sold]]</f>
        <v>1.25</v>
      </c>
      <c r="O134">
        <v>3352.5</v>
      </c>
      <c r="T134" s="1"/>
    </row>
    <row r="135" spans="1:20">
      <c r="A135">
        <v>2</v>
      </c>
      <c r="B135">
        <v>856913</v>
      </c>
      <c r="C135" t="s">
        <v>14</v>
      </c>
      <c r="D135" s="2">
        <v>2935</v>
      </c>
      <c r="E135" s="1">
        <v>43770</v>
      </c>
      <c r="F135">
        <v>1</v>
      </c>
      <c r="G135">
        <v>11</v>
      </c>
      <c r="H135">
        <v>2019</v>
      </c>
      <c r="I135" s="5">
        <f>(Table32[[#This Row],[Revenue]]/Table32[[#This Row],[Units Sold]])</f>
        <v>3</v>
      </c>
      <c r="J135" s="5">
        <f>Table32[[#This Row],[revenue/unit]]-Table32[[#This Row],[Cost/unit]]</f>
        <v>1.75</v>
      </c>
      <c r="K135">
        <f>Table32[[#This Row],[Revenue]]-Table32[[#This Row],[Cost]]</f>
        <v>5136.25</v>
      </c>
      <c r="L135" s="6">
        <f>Table32[[#This Row],[Net Profit]]/Table32[[#This Row],[Cost]]</f>
        <v>1.4</v>
      </c>
      <c r="M135">
        <v>8805</v>
      </c>
      <c r="N135" s="7">
        <f>Table32[[#This Row],[Cost]]/Table32[[#This Row],[Units Sold]]</f>
        <v>1.25</v>
      </c>
      <c r="O135">
        <v>3668.75</v>
      </c>
      <c r="T135" s="1"/>
    </row>
    <row r="136" spans="1:20">
      <c r="A136">
        <v>4</v>
      </c>
      <c r="B136">
        <v>780393</v>
      </c>
      <c r="C136" t="s">
        <v>14</v>
      </c>
      <c r="D136" s="2">
        <v>2954</v>
      </c>
      <c r="E136" s="1">
        <v>43770</v>
      </c>
      <c r="F136">
        <v>1</v>
      </c>
      <c r="G136">
        <v>11</v>
      </c>
      <c r="H136">
        <v>2019</v>
      </c>
      <c r="I136" s="5">
        <f>(Table32[[#This Row],[Revenue]]/Table32[[#This Row],[Units Sold]])</f>
        <v>3</v>
      </c>
      <c r="J136" s="5">
        <f>Table32[[#This Row],[revenue/unit]]-Table32[[#This Row],[Cost/unit]]</f>
        <v>1.75</v>
      </c>
      <c r="K136">
        <f>Table32[[#This Row],[Revenue]]-Table32[[#This Row],[Cost]]</f>
        <v>5169.5</v>
      </c>
      <c r="L136" s="6">
        <f>Table32[[#This Row],[Net Profit]]/Table32[[#This Row],[Cost]]</f>
        <v>1.4</v>
      </c>
      <c r="M136">
        <v>8862</v>
      </c>
      <c r="N136" s="7">
        <f>Table32[[#This Row],[Cost]]/Table32[[#This Row],[Units Sold]]</f>
        <v>1.25</v>
      </c>
      <c r="O136">
        <v>3692.5</v>
      </c>
      <c r="T136" s="1"/>
    </row>
    <row r="137" spans="1:20">
      <c r="A137">
        <v>2</v>
      </c>
      <c r="B137">
        <v>894331</v>
      </c>
      <c r="C137" t="s">
        <v>15</v>
      </c>
      <c r="D137" s="2">
        <v>2092</v>
      </c>
      <c r="E137" s="1">
        <v>43770</v>
      </c>
      <c r="F137">
        <v>1</v>
      </c>
      <c r="G137">
        <v>11</v>
      </c>
      <c r="H137">
        <v>2019</v>
      </c>
      <c r="I137" s="5">
        <f>(Table32[[#This Row],[Revenue]]/Table32[[#This Row],[Units Sold]])</f>
        <v>6</v>
      </c>
      <c r="J137" s="5">
        <f>Table32[[#This Row],[revenue/unit]]-Table32[[#This Row],[Cost/unit]]</f>
        <v>3.25</v>
      </c>
      <c r="K137">
        <f>Table32[[#This Row],[Revenue]]-Table32[[#This Row],[Cost]]</f>
        <v>6799</v>
      </c>
      <c r="L137" s="6">
        <f>Table32[[#This Row],[Net Profit]]/Table32[[#This Row],[Cost]]</f>
        <v>1.1818181818181819</v>
      </c>
      <c r="M137">
        <v>12552</v>
      </c>
      <c r="N137" s="7">
        <f>Table32[[#This Row],[Cost]]/Table32[[#This Row],[Units Sold]]</f>
        <v>2.75</v>
      </c>
      <c r="O137">
        <v>5753</v>
      </c>
      <c r="T137" s="1"/>
    </row>
    <row r="138" spans="1:20">
      <c r="A138">
        <v>4</v>
      </c>
      <c r="B138">
        <v>289924</v>
      </c>
      <c r="C138" t="s">
        <v>15</v>
      </c>
      <c r="D138" s="2">
        <v>386</v>
      </c>
      <c r="E138" s="1">
        <v>43770</v>
      </c>
      <c r="F138">
        <v>1</v>
      </c>
      <c r="G138">
        <v>11</v>
      </c>
      <c r="H138">
        <v>2019</v>
      </c>
      <c r="I138" s="5">
        <f>(Table32[[#This Row],[Revenue]]/Table32[[#This Row],[Units Sold]])</f>
        <v>6</v>
      </c>
      <c r="J138" s="5">
        <f>Table32[[#This Row],[revenue/unit]]-Table32[[#This Row],[Cost/unit]]</f>
        <v>3.25</v>
      </c>
      <c r="K138">
        <f>Table32[[#This Row],[Revenue]]-Table32[[#This Row],[Cost]]</f>
        <v>1254.5</v>
      </c>
      <c r="L138" s="6">
        <f>Table32[[#This Row],[Net Profit]]/Table32[[#This Row],[Cost]]</f>
        <v>1.1818181818181819</v>
      </c>
      <c r="M138">
        <v>2316</v>
      </c>
      <c r="N138" s="7">
        <f>Table32[[#This Row],[Cost]]/Table32[[#This Row],[Units Sold]]</f>
        <v>2.75</v>
      </c>
      <c r="O138">
        <v>1061.5</v>
      </c>
      <c r="T138" s="1"/>
    </row>
    <row r="139" spans="1:20">
      <c r="A139">
        <v>5</v>
      </c>
      <c r="B139">
        <v>814769</v>
      </c>
      <c r="C139" t="s">
        <v>15</v>
      </c>
      <c r="D139" s="2">
        <v>2605</v>
      </c>
      <c r="E139" s="1">
        <v>43770</v>
      </c>
      <c r="F139">
        <v>1</v>
      </c>
      <c r="G139">
        <v>11</v>
      </c>
      <c r="H139">
        <v>2019</v>
      </c>
      <c r="I139" s="5">
        <f>(Table32[[#This Row],[Revenue]]/Table32[[#This Row],[Units Sold]])</f>
        <v>6</v>
      </c>
      <c r="J139" s="5">
        <f>Table32[[#This Row],[revenue/unit]]-Table32[[#This Row],[Cost/unit]]</f>
        <v>3.25</v>
      </c>
      <c r="K139">
        <f>Table32[[#This Row],[Revenue]]-Table32[[#This Row],[Cost]]</f>
        <v>8466.25</v>
      </c>
      <c r="L139" s="6">
        <f>Table32[[#This Row],[Net Profit]]/Table32[[#This Row],[Cost]]</f>
        <v>1.1818181818181819</v>
      </c>
      <c r="M139">
        <v>15630</v>
      </c>
      <c r="N139" s="7">
        <f>Table32[[#This Row],[Cost]]/Table32[[#This Row],[Units Sold]]</f>
        <v>2.75</v>
      </c>
      <c r="O139">
        <v>7163.75</v>
      </c>
      <c r="T139" s="1"/>
    </row>
    <row r="140" spans="1:20">
      <c r="A140">
        <v>2</v>
      </c>
      <c r="B140">
        <v>752353</v>
      </c>
      <c r="C140" t="s">
        <v>15</v>
      </c>
      <c r="D140" s="2">
        <v>2536</v>
      </c>
      <c r="E140" s="1">
        <v>43770</v>
      </c>
      <c r="F140">
        <v>1</v>
      </c>
      <c r="G140">
        <v>11</v>
      </c>
      <c r="H140">
        <v>2019</v>
      </c>
      <c r="I140" s="5">
        <f>(Table32[[#This Row],[Revenue]]/Table32[[#This Row],[Units Sold]])</f>
        <v>6</v>
      </c>
      <c r="J140" s="5">
        <f>Table32[[#This Row],[revenue/unit]]-Table32[[#This Row],[Cost/unit]]</f>
        <v>3.25</v>
      </c>
      <c r="K140">
        <f>Table32[[#This Row],[Revenue]]-Table32[[#This Row],[Cost]]</f>
        <v>8242</v>
      </c>
      <c r="L140" s="6">
        <f>Table32[[#This Row],[Net Profit]]/Table32[[#This Row],[Cost]]</f>
        <v>1.1818181818181819</v>
      </c>
      <c r="M140">
        <v>15216</v>
      </c>
      <c r="N140" s="7">
        <f>Table32[[#This Row],[Cost]]/Table32[[#This Row],[Units Sold]]</f>
        <v>2.75</v>
      </c>
      <c r="O140">
        <v>6974</v>
      </c>
      <c r="T140" s="1"/>
    </row>
    <row r="141" spans="1:20">
      <c r="A141">
        <v>4</v>
      </c>
      <c r="B141">
        <v>208456</v>
      </c>
      <c r="C141" t="s">
        <v>15</v>
      </c>
      <c r="D141" s="2">
        <v>2574</v>
      </c>
      <c r="E141" s="1">
        <v>43770</v>
      </c>
      <c r="F141">
        <v>1</v>
      </c>
      <c r="G141">
        <v>11</v>
      </c>
      <c r="H141">
        <v>2019</v>
      </c>
      <c r="I141" s="5">
        <f>(Table32[[#This Row],[Revenue]]/Table32[[#This Row],[Units Sold]])</f>
        <v>6</v>
      </c>
      <c r="J141" s="5">
        <f>Table32[[#This Row],[revenue/unit]]-Table32[[#This Row],[Cost/unit]]</f>
        <v>3.25</v>
      </c>
      <c r="K141">
        <f>Table32[[#This Row],[Revenue]]-Table32[[#This Row],[Cost]]</f>
        <v>8365.5</v>
      </c>
      <c r="L141" s="6">
        <f>Table32[[#This Row],[Net Profit]]/Table32[[#This Row],[Cost]]</f>
        <v>1.1818181818181819</v>
      </c>
      <c r="M141">
        <v>15444</v>
      </c>
      <c r="N141" s="7">
        <f>Table32[[#This Row],[Cost]]/Table32[[#This Row],[Units Sold]]</f>
        <v>2.75</v>
      </c>
      <c r="O141">
        <v>7078.5</v>
      </c>
      <c r="T141" s="1"/>
    </row>
    <row r="142" spans="1:20">
      <c r="A142">
        <v>5</v>
      </c>
      <c r="B142">
        <v>529550</v>
      </c>
      <c r="C142" t="s">
        <v>10</v>
      </c>
      <c r="D142" s="2">
        <v>2152</v>
      </c>
      <c r="E142" s="1">
        <v>43800</v>
      </c>
      <c r="F142">
        <v>1</v>
      </c>
      <c r="G142">
        <v>12</v>
      </c>
      <c r="H142">
        <v>2019</v>
      </c>
      <c r="I142" s="5">
        <f>(Table32[[#This Row],[Revenue]]/Table32[[#This Row],[Units Sold]])</f>
        <v>5</v>
      </c>
      <c r="J142" s="5">
        <f>Table32[[#This Row],[revenue/unit]]-Table32[[#This Row],[Cost/unit]]</f>
        <v>3</v>
      </c>
      <c r="K142">
        <f>Table32[[#This Row],[Revenue]]-Table32[[#This Row],[Cost]]</f>
        <v>6456</v>
      </c>
      <c r="L142" s="6">
        <f>Table32[[#This Row],[Net Profit]]/Table32[[#This Row],[Cost]]</f>
        <v>1.5</v>
      </c>
      <c r="M142">
        <v>10760</v>
      </c>
      <c r="N142" s="7">
        <f>Table32[[#This Row],[Cost]]/Table32[[#This Row],[Units Sold]]</f>
        <v>2</v>
      </c>
      <c r="O142">
        <v>4304</v>
      </c>
      <c r="T142" s="1"/>
    </row>
    <row r="143" spans="1:20">
      <c r="A143">
        <v>5</v>
      </c>
      <c r="B143">
        <v>793514</v>
      </c>
      <c r="C143" t="s">
        <v>10</v>
      </c>
      <c r="D143" s="2">
        <v>1925</v>
      </c>
      <c r="E143" s="1">
        <v>43800</v>
      </c>
      <c r="F143">
        <v>1</v>
      </c>
      <c r="G143">
        <v>12</v>
      </c>
      <c r="H143">
        <v>2019</v>
      </c>
      <c r="I143" s="5">
        <f>(Table32[[#This Row],[Revenue]]/Table32[[#This Row],[Units Sold]])</f>
        <v>5</v>
      </c>
      <c r="J143" s="5">
        <f>Table32[[#This Row],[revenue/unit]]-Table32[[#This Row],[Cost/unit]]</f>
        <v>3</v>
      </c>
      <c r="K143">
        <f>Table32[[#This Row],[Revenue]]-Table32[[#This Row],[Cost]]</f>
        <v>5775</v>
      </c>
      <c r="L143" s="6">
        <f>Table32[[#This Row],[Net Profit]]/Table32[[#This Row],[Cost]]</f>
        <v>1.5</v>
      </c>
      <c r="M143">
        <v>9625</v>
      </c>
      <c r="N143" s="7">
        <f>Table32[[#This Row],[Cost]]/Table32[[#This Row],[Units Sold]]</f>
        <v>2</v>
      </c>
      <c r="O143">
        <v>3850</v>
      </c>
      <c r="T143" s="1"/>
    </row>
    <row r="144" spans="1:20">
      <c r="A144">
        <v>1</v>
      </c>
      <c r="B144">
        <v>780708</v>
      </c>
      <c r="C144" t="s">
        <v>10</v>
      </c>
      <c r="D144" s="2">
        <v>2013</v>
      </c>
      <c r="E144" s="1">
        <v>43800</v>
      </c>
      <c r="F144">
        <v>1</v>
      </c>
      <c r="G144">
        <v>12</v>
      </c>
      <c r="H144">
        <v>2019</v>
      </c>
      <c r="I144" s="5">
        <f>(Table32[[#This Row],[Revenue]]/Table32[[#This Row],[Units Sold]])</f>
        <v>5</v>
      </c>
      <c r="J144" s="5">
        <f>Table32[[#This Row],[revenue/unit]]-Table32[[#This Row],[Cost/unit]]</f>
        <v>3</v>
      </c>
      <c r="K144">
        <f>Table32[[#This Row],[Revenue]]-Table32[[#This Row],[Cost]]</f>
        <v>6039</v>
      </c>
      <c r="L144" s="6">
        <f>Table32[[#This Row],[Net Profit]]/Table32[[#This Row],[Cost]]</f>
        <v>1.5</v>
      </c>
      <c r="M144">
        <v>10065</v>
      </c>
      <c r="N144" s="7">
        <f>Table32[[#This Row],[Cost]]/Table32[[#This Row],[Units Sold]]</f>
        <v>2</v>
      </c>
      <c r="O144">
        <v>4026</v>
      </c>
      <c r="T144" s="1"/>
    </row>
    <row r="145" spans="1:20">
      <c r="A145">
        <v>2</v>
      </c>
      <c r="B145">
        <v>738910</v>
      </c>
      <c r="C145" t="s">
        <v>10</v>
      </c>
      <c r="D145" s="2">
        <v>2261</v>
      </c>
      <c r="E145" s="1">
        <v>43800</v>
      </c>
      <c r="F145">
        <v>1</v>
      </c>
      <c r="G145">
        <v>12</v>
      </c>
      <c r="H145">
        <v>2019</v>
      </c>
      <c r="I145" s="5">
        <f>(Table32[[#This Row],[Revenue]]/Table32[[#This Row],[Units Sold]])</f>
        <v>5</v>
      </c>
      <c r="J145" s="5">
        <f>Table32[[#This Row],[revenue/unit]]-Table32[[#This Row],[Cost/unit]]</f>
        <v>3</v>
      </c>
      <c r="K145">
        <f>Table32[[#This Row],[Revenue]]-Table32[[#This Row],[Cost]]</f>
        <v>6783</v>
      </c>
      <c r="L145" s="6">
        <f>Table32[[#This Row],[Net Profit]]/Table32[[#This Row],[Cost]]</f>
        <v>1.5</v>
      </c>
      <c r="M145">
        <v>11305</v>
      </c>
      <c r="N145" s="7">
        <f>Table32[[#This Row],[Cost]]/Table32[[#This Row],[Units Sold]]</f>
        <v>2</v>
      </c>
      <c r="O145">
        <v>4522</v>
      </c>
      <c r="T145" s="1"/>
    </row>
    <row r="146" spans="1:20">
      <c r="A146">
        <v>4</v>
      </c>
      <c r="B146">
        <v>348194</v>
      </c>
      <c r="C146" t="s">
        <v>10</v>
      </c>
      <c r="D146" s="2">
        <v>1802</v>
      </c>
      <c r="E146" s="1">
        <v>43800</v>
      </c>
      <c r="F146">
        <v>1</v>
      </c>
      <c r="G146">
        <v>12</v>
      </c>
      <c r="H146">
        <v>2019</v>
      </c>
      <c r="I146" s="5">
        <f>(Table32[[#This Row],[Revenue]]/Table32[[#This Row],[Units Sold]])</f>
        <v>5</v>
      </c>
      <c r="J146" s="5">
        <f>Table32[[#This Row],[revenue/unit]]-Table32[[#This Row],[Cost/unit]]</f>
        <v>3</v>
      </c>
      <c r="K146">
        <f>Table32[[#This Row],[Revenue]]-Table32[[#This Row],[Cost]]</f>
        <v>5406</v>
      </c>
      <c r="L146" s="6">
        <f>Table32[[#This Row],[Net Profit]]/Table32[[#This Row],[Cost]]</f>
        <v>1.5</v>
      </c>
      <c r="M146">
        <v>9010</v>
      </c>
      <c r="N146" s="7">
        <f>Table32[[#This Row],[Cost]]/Table32[[#This Row],[Units Sold]]</f>
        <v>2</v>
      </c>
      <c r="O146">
        <v>3604</v>
      </c>
      <c r="T146" s="1"/>
    </row>
    <row r="147" spans="1:20">
      <c r="A147">
        <v>4</v>
      </c>
      <c r="B147">
        <v>685544</v>
      </c>
      <c r="C147" t="s">
        <v>10</v>
      </c>
      <c r="D147" s="2">
        <v>2136</v>
      </c>
      <c r="E147" s="1">
        <v>43800</v>
      </c>
      <c r="F147">
        <v>1</v>
      </c>
      <c r="G147">
        <v>12</v>
      </c>
      <c r="H147">
        <v>2019</v>
      </c>
      <c r="I147" s="5">
        <f>(Table32[[#This Row],[Revenue]]/Table32[[#This Row],[Units Sold]])</f>
        <v>5</v>
      </c>
      <c r="J147" s="5">
        <f>Table32[[#This Row],[revenue/unit]]-Table32[[#This Row],[Cost/unit]]</f>
        <v>3</v>
      </c>
      <c r="K147">
        <f>Table32[[#This Row],[Revenue]]-Table32[[#This Row],[Cost]]</f>
        <v>6408</v>
      </c>
      <c r="L147" s="6">
        <f>Table32[[#This Row],[Net Profit]]/Table32[[#This Row],[Cost]]</f>
        <v>1.5</v>
      </c>
      <c r="M147">
        <v>10680</v>
      </c>
      <c r="N147" s="7">
        <f>Table32[[#This Row],[Cost]]/Table32[[#This Row],[Units Sold]]</f>
        <v>2</v>
      </c>
      <c r="O147">
        <v>4272</v>
      </c>
      <c r="T147" s="1"/>
    </row>
    <row r="148" spans="1:20">
      <c r="A148">
        <v>1</v>
      </c>
      <c r="B148">
        <v>636993</v>
      </c>
      <c r="C148" t="s">
        <v>10</v>
      </c>
      <c r="D148" s="2">
        <v>2116</v>
      </c>
      <c r="E148" s="1">
        <v>43800</v>
      </c>
      <c r="F148">
        <v>1</v>
      </c>
      <c r="G148">
        <v>12</v>
      </c>
      <c r="H148">
        <v>2019</v>
      </c>
      <c r="I148" s="5">
        <f>(Table32[[#This Row],[Revenue]]/Table32[[#This Row],[Units Sold]])</f>
        <v>5</v>
      </c>
      <c r="J148" s="5">
        <f>Table32[[#This Row],[revenue/unit]]-Table32[[#This Row],[Cost/unit]]</f>
        <v>3</v>
      </c>
      <c r="K148">
        <f>Table32[[#This Row],[Revenue]]-Table32[[#This Row],[Cost]]</f>
        <v>6348</v>
      </c>
      <c r="L148" s="6">
        <f>Table32[[#This Row],[Net Profit]]/Table32[[#This Row],[Cost]]</f>
        <v>1.5</v>
      </c>
      <c r="M148">
        <v>10580</v>
      </c>
      <c r="N148" s="7">
        <f>Table32[[#This Row],[Cost]]/Table32[[#This Row],[Units Sold]]</f>
        <v>2</v>
      </c>
      <c r="O148">
        <v>4232</v>
      </c>
      <c r="T148" s="1"/>
    </row>
    <row r="149" spans="1:20">
      <c r="A149">
        <v>3</v>
      </c>
      <c r="B149">
        <v>146778</v>
      </c>
      <c r="C149" t="s">
        <v>10</v>
      </c>
      <c r="D149" s="2">
        <v>2125</v>
      </c>
      <c r="E149" s="1">
        <v>43800</v>
      </c>
      <c r="F149">
        <v>1</v>
      </c>
      <c r="G149">
        <v>12</v>
      </c>
      <c r="H149">
        <v>2019</v>
      </c>
      <c r="I149" s="5">
        <f>(Table32[[#This Row],[Revenue]]/Table32[[#This Row],[Units Sold]])</f>
        <v>5</v>
      </c>
      <c r="J149" s="5">
        <f>Table32[[#This Row],[revenue/unit]]-Table32[[#This Row],[Cost/unit]]</f>
        <v>3</v>
      </c>
      <c r="K149">
        <f>Table32[[#This Row],[Revenue]]-Table32[[#This Row],[Cost]]</f>
        <v>6375</v>
      </c>
      <c r="L149" s="6">
        <f>Table32[[#This Row],[Net Profit]]/Table32[[#This Row],[Cost]]</f>
        <v>1.5</v>
      </c>
      <c r="M149">
        <v>10625</v>
      </c>
      <c r="N149" s="7">
        <f>Table32[[#This Row],[Cost]]/Table32[[#This Row],[Units Sold]]</f>
        <v>2</v>
      </c>
      <c r="O149">
        <v>4250</v>
      </c>
      <c r="T149" s="1"/>
    </row>
    <row r="150" spans="1:20">
      <c r="A150">
        <v>3</v>
      </c>
      <c r="B150">
        <v>887888</v>
      </c>
      <c r="C150" t="s">
        <v>10</v>
      </c>
      <c r="D150" s="2">
        <v>1946</v>
      </c>
      <c r="E150" s="1">
        <v>43800</v>
      </c>
      <c r="F150">
        <v>1</v>
      </c>
      <c r="G150">
        <v>12</v>
      </c>
      <c r="H150">
        <v>2019</v>
      </c>
      <c r="I150" s="5">
        <f>(Table32[[#This Row],[Revenue]]/Table32[[#This Row],[Units Sold]])</f>
        <v>5</v>
      </c>
      <c r="J150" s="5">
        <f>Table32[[#This Row],[revenue/unit]]-Table32[[#This Row],[Cost/unit]]</f>
        <v>3</v>
      </c>
      <c r="K150">
        <f>Table32[[#This Row],[Revenue]]-Table32[[#This Row],[Cost]]</f>
        <v>5838</v>
      </c>
      <c r="L150" s="6">
        <f>Table32[[#This Row],[Net Profit]]/Table32[[#This Row],[Cost]]</f>
        <v>1.5</v>
      </c>
      <c r="M150">
        <v>9730</v>
      </c>
      <c r="N150" s="7">
        <f>Table32[[#This Row],[Cost]]/Table32[[#This Row],[Units Sold]]</f>
        <v>2</v>
      </c>
      <c r="O150">
        <v>3892</v>
      </c>
      <c r="T150" s="1"/>
    </row>
    <row r="151" spans="1:20">
      <c r="A151">
        <v>4</v>
      </c>
      <c r="B151">
        <v>737790</v>
      </c>
      <c r="C151" t="s">
        <v>10</v>
      </c>
      <c r="D151" s="2">
        <v>380</v>
      </c>
      <c r="E151" s="1">
        <v>43800</v>
      </c>
      <c r="F151">
        <v>1</v>
      </c>
      <c r="G151">
        <v>12</v>
      </c>
      <c r="H151">
        <v>2019</v>
      </c>
      <c r="I151" s="5">
        <f>(Table32[[#This Row],[Revenue]]/Table32[[#This Row],[Units Sold]])</f>
        <v>5</v>
      </c>
      <c r="J151" s="5">
        <f>Table32[[#This Row],[revenue/unit]]-Table32[[#This Row],[Cost/unit]]</f>
        <v>3</v>
      </c>
      <c r="K151">
        <f>Table32[[#This Row],[Revenue]]-Table32[[#This Row],[Cost]]</f>
        <v>1140</v>
      </c>
      <c r="L151" s="6">
        <f>Table32[[#This Row],[Net Profit]]/Table32[[#This Row],[Cost]]</f>
        <v>1.5</v>
      </c>
      <c r="M151">
        <v>1900</v>
      </c>
      <c r="N151" s="7">
        <f>Table32[[#This Row],[Cost]]/Table32[[#This Row],[Units Sold]]</f>
        <v>2</v>
      </c>
      <c r="O151">
        <v>760</v>
      </c>
      <c r="T151" s="1"/>
    </row>
    <row r="152" spans="1:20">
      <c r="A152">
        <v>1</v>
      </c>
      <c r="B152">
        <v>830981</v>
      </c>
      <c r="C152" t="s">
        <v>11</v>
      </c>
      <c r="D152" s="2">
        <v>1100</v>
      </c>
      <c r="E152" s="1">
        <v>43800</v>
      </c>
      <c r="F152">
        <v>1</v>
      </c>
      <c r="G152">
        <v>12</v>
      </c>
      <c r="H152">
        <v>2019</v>
      </c>
      <c r="I152" s="5">
        <f>(Table32[[#This Row],[Revenue]]/Table32[[#This Row],[Units Sold]])</f>
        <v>1</v>
      </c>
      <c r="J152" s="5">
        <f>Table32[[#This Row],[revenue/unit]]-Table32[[#This Row],[Cost/unit]]</f>
        <v>0.5</v>
      </c>
      <c r="K152">
        <f>Table32[[#This Row],[Revenue]]-Table32[[#This Row],[Cost]]</f>
        <v>550</v>
      </c>
      <c r="L152" s="6">
        <f>Table32[[#This Row],[Net Profit]]/Table32[[#This Row],[Cost]]</f>
        <v>1</v>
      </c>
      <c r="M152">
        <v>1100</v>
      </c>
      <c r="N152" s="7">
        <f>Table32[[#This Row],[Cost]]/Table32[[#This Row],[Units Sold]]</f>
        <v>0.5</v>
      </c>
      <c r="O152">
        <v>550</v>
      </c>
      <c r="T152" s="1"/>
    </row>
    <row r="153" spans="1:20">
      <c r="A153">
        <v>2</v>
      </c>
      <c r="B153">
        <v>270516</v>
      </c>
      <c r="C153" t="s">
        <v>11</v>
      </c>
      <c r="D153" s="2">
        <v>1611</v>
      </c>
      <c r="E153" s="1">
        <v>43800</v>
      </c>
      <c r="F153">
        <v>1</v>
      </c>
      <c r="G153">
        <v>12</v>
      </c>
      <c r="H153">
        <v>2019</v>
      </c>
      <c r="I153" s="5">
        <f>(Table32[[#This Row],[Revenue]]/Table32[[#This Row],[Units Sold]])</f>
        <v>1</v>
      </c>
      <c r="J153" s="5">
        <f>Table32[[#This Row],[revenue/unit]]-Table32[[#This Row],[Cost/unit]]</f>
        <v>0.5</v>
      </c>
      <c r="K153">
        <f>Table32[[#This Row],[Revenue]]-Table32[[#This Row],[Cost]]</f>
        <v>805.5</v>
      </c>
      <c r="L153" s="6">
        <f>Table32[[#This Row],[Net Profit]]/Table32[[#This Row],[Cost]]</f>
        <v>1</v>
      </c>
      <c r="M153">
        <v>1611</v>
      </c>
      <c r="N153" s="7">
        <f>Table32[[#This Row],[Cost]]/Table32[[#This Row],[Units Sold]]</f>
        <v>0.5</v>
      </c>
      <c r="O153">
        <v>805.5</v>
      </c>
      <c r="T153" s="1"/>
    </row>
    <row r="154" spans="1:20">
      <c r="A154">
        <v>5</v>
      </c>
      <c r="B154">
        <v>254540</v>
      </c>
      <c r="C154" t="s">
        <v>11</v>
      </c>
      <c r="D154" s="2">
        <v>334</v>
      </c>
      <c r="E154" s="1">
        <v>43800</v>
      </c>
      <c r="F154">
        <v>1</v>
      </c>
      <c r="G154">
        <v>12</v>
      </c>
      <c r="H154">
        <v>2019</v>
      </c>
      <c r="I154" s="5">
        <f>(Table32[[#This Row],[Revenue]]/Table32[[#This Row],[Units Sold]])</f>
        <v>1</v>
      </c>
      <c r="J154" s="5">
        <f>Table32[[#This Row],[revenue/unit]]-Table32[[#This Row],[Cost/unit]]</f>
        <v>0.5</v>
      </c>
      <c r="K154">
        <f>Table32[[#This Row],[Revenue]]-Table32[[#This Row],[Cost]]</f>
        <v>167</v>
      </c>
      <c r="L154" s="6">
        <f>Table32[[#This Row],[Net Profit]]/Table32[[#This Row],[Cost]]</f>
        <v>1</v>
      </c>
      <c r="M154">
        <v>334</v>
      </c>
      <c r="N154" s="7">
        <f>Table32[[#This Row],[Cost]]/Table32[[#This Row],[Units Sold]]</f>
        <v>0.5</v>
      </c>
      <c r="O154">
        <v>167</v>
      </c>
      <c r="T154" s="1"/>
    </row>
    <row r="155" spans="1:20">
      <c r="A155">
        <v>1</v>
      </c>
      <c r="B155">
        <v>469636</v>
      </c>
      <c r="C155" t="s">
        <v>11</v>
      </c>
      <c r="D155" s="2">
        <v>1186</v>
      </c>
      <c r="E155" s="1">
        <v>43800</v>
      </c>
      <c r="F155">
        <v>1</v>
      </c>
      <c r="G155">
        <v>12</v>
      </c>
      <c r="H155">
        <v>2019</v>
      </c>
      <c r="I155" s="5">
        <f>(Table32[[#This Row],[Revenue]]/Table32[[#This Row],[Units Sold]])</f>
        <v>1</v>
      </c>
      <c r="J155" s="5">
        <f>Table32[[#This Row],[revenue/unit]]-Table32[[#This Row],[Cost/unit]]</f>
        <v>0.5</v>
      </c>
      <c r="K155">
        <f>Table32[[#This Row],[Revenue]]-Table32[[#This Row],[Cost]]</f>
        <v>593</v>
      </c>
      <c r="L155" s="6">
        <f>Table32[[#This Row],[Net Profit]]/Table32[[#This Row],[Cost]]</f>
        <v>1</v>
      </c>
      <c r="M155">
        <v>1186</v>
      </c>
      <c r="N155" s="7">
        <f>Table32[[#This Row],[Cost]]/Table32[[#This Row],[Units Sold]]</f>
        <v>0.5</v>
      </c>
      <c r="O155">
        <v>593</v>
      </c>
      <c r="T155" s="1"/>
    </row>
    <row r="156" spans="1:20">
      <c r="A156">
        <v>2</v>
      </c>
      <c r="B156">
        <v>733366</v>
      </c>
      <c r="C156" t="s">
        <v>12</v>
      </c>
      <c r="D156" s="2">
        <v>1778</v>
      </c>
      <c r="E156" s="1">
        <v>43800</v>
      </c>
      <c r="F156">
        <v>1</v>
      </c>
      <c r="G156">
        <v>12</v>
      </c>
      <c r="H156">
        <v>2019</v>
      </c>
      <c r="I156" s="5">
        <f>(Table32[[#This Row],[Revenue]]/Table32[[#This Row],[Units Sold]])</f>
        <v>5</v>
      </c>
      <c r="J156" s="5">
        <f>Table32[[#This Row],[revenue/unit]]-Table32[[#This Row],[Cost/unit]]</f>
        <v>2.8</v>
      </c>
      <c r="K156">
        <f>Table32[[#This Row],[Revenue]]-Table32[[#This Row],[Cost]]</f>
        <v>4978.3999999999996</v>
      </c>
      <c r="L156" s="6">
        <f>Table32[[#This Row],[Net Profit]]/Table32[[#This Row],[Cost]]</f>
        <v>1.2727272727272725</v>
      </c>
      <c r="M156">
        <v>8890</v>
      </c>
      <c r="N156" s="7">
        <f>Table32[[#This Row],[Cost]]/Table32[[#This Row],[Units Sold]]</f>
        <v>2.2000000000000002</v>
      </c>
      <c r="O156">
        <v>3911.6000000000004</v>
      </c>
      <c r="T156" s="1"/>
    </row>
    <row r="157" spans="1:20">
      <c r="A157">
        <v>4</v>
      </c>
      <c r="B157">
        <v>545954</v>
      </c>
      <c r="C157" t="s">
        <v>12</v>
      </c>
      <c r="D157" s="2">
        <v>1375</v>
      </c>
      <c r="E157" s="1">
        <v>43800</v>
      </c>
      <c r="F157">
        <v>1</v>
      </c>
      <c r="G157">
        <v>12</v>
      </c>
      <c r="H157">
        <v>2019</v>
      </c>
      <c r="I157" s="5">
        <f>(Table32[[#This Row],[Revenue]]/Table32[[#This Row],[Units Sold]])</f>
        <v>5</v>
      </c>
      <c r="J157" s="5">
        <f>Table32[[#This Row],[revenue/unit]]-Table32[[#This Row],[Cost/unit]]</f>
        <v>2.8</v>
      </c>
      <c r="K157">
        <f>Table32[[#This Row],[Revenue]]-Table32[[#This Row],[Cost]]</f>
        <v>3849.9999999999995</v>
      </c>
      <c r="L157" s="6">
        <f>Table32[[#This Row],[Net Profit]]/Table32[[#This Row],[Cost]]</f>
        <v>1.2727272727272725</v>
      </c>
      <c r="M157">
        <v>6875</v>
      </c>
      <c r="N157" s="7">
        <f>Table32[[#This Row],[Cost]]/Table32[[#This Row],[Units Sold]]</f>
        <v>2.2000000000000002</v>
      </c>
      <c r="O157">
        <v>3025.0000000000005</v>
      </c>
      <c r="T157" s="1"/>
    </row>
    <row r="158" spans="1:20">
      <c r="A158">
        <v>2</v>
      </c>
      <c r="B158">
        <v>581556</v>
      </c>
      <c r="C158" t="s">
        <v>12</v>
      </c>
      <c r="D158" s="2">
        <v>306</v>
      </c>
      <c r="E158" s="1">
        <v>43800</v>
      </c>
      <c r="F158">
        <v>1</v>
      </c>
      <c r="G158">
        <v>12</v>
      </c>
      <c r="H158">
        <v>2019</v>
      </c>
      <c r="I158" s="5">
        <f>(Table32[[#This Row],[Revenue]]/Table32[[#This Row],[Units Sold]])</f>
        <v>5</v>
      </c>
      <c r="J158" s="5">
        <f>Table32[[#This Row],[revenue/unit]]-Table32[[#This Row],[Cost/unit]]</f>
        <v>2.8</v>
      </c>
      <c r="K158">
        <f>Table32[[#This Row],[Revenue]]-Table32[[#This Row],[Cost]]</f>
        <v>856.8</v>
      </c>
      <c r="L158" s="6">
        <f>Table32[[#This Row],[Net Profit]]/Table32[[#This Row],[Cost]]</f>
        <v>1.2727272727272725</v>
      </c>
      <c r="M158">
        <v>1530</v>
      </c>
      <c r="N158" s="7">
        <f>Table32[[#This Row],[Cost]]/Table32[[#This Row],[Units Sold]]</f>
        <v>2.2000000000000002</v>
      </c>
      <c r="O158">
        <v>673.2</v>
      </c>
      <c r="T158" s="1"/>
    </row>
    <row r="159" spans="1:20">
      <c r="A159">
        <v>3</v>
      </c>
      <c r="B159">
        <v>786473</v>
      </c>
      <c r="C159" t="s">
        <v>12</v>
      </c>
      <c r="D159" s="2">
        <v>1770</v>
      </c>
      <c r="E159" s="1">
        <v>43800</v>
      </c>
      <c r="F159">
        <v>1</v>
      </c>
      <c r="G159">
        <v>12</v>
      </c>
      <c r="H159">
        <v>2019</v>
      </c>
      <c r="I159" s="5">
        <f>(Table32[[#This Row],[Revenue]]/Table32[[#This Row],[Units Sold]])</f>
        <v>5</v>
      </c>
      <c r="J159" s="5">
        <f>Table32[[#This Row],[revenue/unit]]-Table32[[#This Row],[Cost/unit]]</f>
        <v>2.8</v>
      </c>
      <c r="K159">
        <f>Table32[[#This Row],[Revenue]]-Table32[[#This Row],[Cost]]</f>
        <v>4956</v>
      </c>
      <c r="L159" s="6">
        <f>Table32[[#This Row],[Net Profit]]/Table32[[#This Row],[Cost]]</f>
        <v>1.2727272727272725</v>
      </c>
      <c r="M159">
        <v>8850</v>
      </c>
      <c r="N159" s="7">
        <f>Table32[[#This Row],[Cost]]/Table32[[#This Row],[Units Sold]]</f>
        <v>2.2000000000000002</v>
      </c>
      <c r="O159">
        <v>3894.0000000000005</v>
      </c>
      <c r="T159" s="1"/>
    </row>
    <row r="160" spans="1:20">
      <c r="A160">
        <v>1</v>
      </c>
      <c r="B160">
        <v>208984</v>
      </c>
      <c r="C160" t="s">
        <v>12</v>
      </c>
      <c r="D160" s="2">
        <v>2015</v>
      </c>
      <c r="E160" s="1">
        <v>43800</v>
      </c>
      <c r="F160">
        <v>1</v>
      </c>
      <c r="G160">
        <v>12</v>
      </c>
      <c r="H160">
        <v>2019</v>
      </c>
      <c r="I160" s="5">
        <f>(Table32[[#This Row],[Revenue]]/Table32[[#This Row],[Units Sold]])</f>
        <v>5</v>
      </c>
      <c r="J160" s="5">
        <f>Table32[[#This Row],[revenue/unit]]-Table32[[#This Row],[Cost/unit]]</f>
        <v>2.8</v>
      </c>
      <c r="K160">
        <f>Table32[[#This Row],[Revenue]]-Table32[[#This Row],[Cost]]</f>
        <v>5642</v>
      </c>
      <c r="L160" s="6">
        <f>Table32[[#This Row],[Net Profit]]/Table32[[#This Row],[Cost]]</f>
        <v>1.2727272727272727</v>
      </c>
      <c r="M160">
        <v>10075</v>
      </c>
      <c r="N160" s="7">
        <f>Table32[[#This Row],[Cost]]/Table32[[#This Row],[Units Sold]]</f>
        <v>2.2000000000000002</v>
      </c>
      <c r="O160">
        <v>4433</v>
      </c>
      <c r="T160" s="1"/>
    </row>
    <row r="161" spans="1:20">
      <c r="A161">
        <v>4</v>
      </c>
      <c r="B161">
        <v>249563</v>
      </c>
      <c r="C161" t="s">
        <v>13</v>
      </c>
      <c r="D161" s="2">
        <v>908</v>
      </c>
      <c r="E161" s="1">
        <v>43800</v>
      </c>
      <c r="F161">
        <v>1</v>
      </c>
      <c r="G161">
        <v>12</v>
      </c>
      <c r="H161">
        <v>2019</v>
      </c>
      <c r="I161" s="5">
        <f>(Table32[[#This Row],[Revenue]]/Table32[[#This Row],[Units Sold]])</f>
        <v>4</v>
      </c>
      <c r="J161" s="5">
        <f>Table32[[#This Row],[revenue/unit]]-Table32[[#This Row],[Cost/unit]]</f>
        <v>2.5</v>
      </c>
      <c r="K161">
        <f>Table32[[#This Row],[Revenue]]-Table32[[#This Row],[Cost]]</f>
        <v>2270</v>
      </c>
      <c r="L161" s="6">
        <f>Table32[[#This Row],[Net Profit]]/Table32[[#This Row],[Cost]]</f>
        <v>1.6666666666666667</v>
      </c>
      <c r="M161">
        <v>3632</v>
      </c>
      <c r="N161" s="7">
        <f>Table32[[#This Row],[Cost]]/Table32[[#This Row],[Units Sold]]</f>
        <v>1.5</v>
      </c>
      <c r="O161">
        <v>1362</v>
      </c>
      <c r="T161" s="1"/>
    </row>
    <row r="162" spans="1:20">
      <c r="A162">
        <v>3</v>
      </c>
      <c r="B162">
        <v>847678</v>
      </c>
      <c r="C162" t="s">
        <v>13</v>
      </c>
      <c r="D162" s="2">
        <v>887</v>
      </c>
      <c r="E162" s="1">
        <v>43800</v>
      </c>
      <c r="F162">
        <v>1</v>
      </c>
      <c r="G162">
        <v>12</v>
      </c>
      <c r="H162">
        <v>2019</v>
      </c>
      <c r="I162" s="5">
        <f>(Table32[[#This Row],[Revenue]]/Table32[[#This Row],[Units Sold]])</f>
        <v>4</v>
      </c>
      <c r="J162" s="5">
        <f>Table32[[#This Row],[revenue/unit]]-Table32[[#This Row],[Cost/unit]]</f>
        <v>2.5</v>
      </c>
      <c r="K162">
        <f>Table32[[#This Row],[Revenue]]-Table32[[#This Row],[Cost]]</f>
        <v>2217.5</v>
      </c>
      <c r="L162" s="6">
        <f>Table32[[#This Row],[Net Profit]]/Table32[[#This Row],[Cost]]</f>
        <v>1.6666666666666667</v>
      </c>
      <c r="M162">
        <v>3548</v>
      </c>
      <c r="N162" s="7">
        <f>Table32[[#This Row],[Cost]]/Table32[[#This Row],[Units Sold]]</f>
        <v>1.5</v>
      </c>
      <c r="O162">
        <v>1330.5</v>
      </c>
      <c r="T162" s="1"/>
    </row>
    <row r="163" spans="1:20">
      <c r="A163">
        <v>3</v>
      </c>
      <c r="B163">
        <v>788517</v>
      </c>
      <c r="C163" t="s">
        <v>13</v>
      </c>
      <c r="D163" s="2">
        <v>1482</v>
      </c>
      <c r="E163" s="1">
        <v>43800</v>
      </c>
      <c r="F163">
        <v>1</v>
      </c>
      <c r="G163">
        <v>12</v>
      </c>
      <c r="H163">
        <v>2019</v>
      </c>
      <c r="I163" s="5">
        <f>(Table32[[#This Row],[Revenue]]/Table32[[#This Row],[Units Sold]])</f>
        <v>4</v>
      </c>
      <c r="J163" s="5">
        <f>Table32[[#This Row],[revenue/unit]]-Table32[[#This Row],[Cost/unit]]</f>
        <v>2.5</v>
      </c>
      <c r="K163">
        <f>Table32[[#This Row],[Revenue]]-Table32[[#This Row],[Cost]]</f>
        <v>3705</v>
      </c>
      <c r="L163" s="6">
        <f>Table32[[#This Row],[Net Profit]]/Table32[[#This Row],[Cost]]</f>
        <v>1.6666666666666667</v>
      </c>
      <c r="M163">
        <v>5928</v>
      </c>
      <c r="N163" s="7">
        <f>Table32[[#This Row],[Cost]]/Table32[[#This Row],[Units Sold]]</f>
        <v>1.5</v>
      </c>
      <c r="O163">
        <v>2223</v>
      </c>
      <c r="T163" s="1"/>
    </row>
    <row r="164" spans="1:20">
      <c r="A164">
        <v>4</v>
      </c>
      <c r="B164">
        <v>384743</v>
      </c>
      <c r="C164" t="s">
        <v>13</v>
      </c>
      <c r="D164" s="2">
        <v>2821</v>
      </c>
      <c r="E164" s="1">
        <v>43800</v>
      </c>
      <c r="F164">
        <v>1</v>
      </c>
      <c r="G164">
        <v>12</v>
      </c>
      <c r="H164">
        <v>2019</v>
      </c>
      <c r="I164" s="5">
        <f>(Table32[[#This Row],[Revenue]]/Table32[[#This Row],[Units Sold]])</f>
        <v>4</v>
      </c>
      <c r="J164" s="5">
        <f>Table32[[#This Row],[revenue/unit]]-Table32[[#This Row],[Cost/unit]]</f>
        <v>2.5</v>
      </c>
      <c r="K164">
        <f>Table32[[#This Row],[Revenue]]-Table32[[#This Row],[Cost]]</f>
        <v>7052.5</v>
      </c>
      <c r="L164" s="6">
        <f>Table32[[#This Row],[Net Profit]]/Table32[[#This Row],[Cost]]</f>
        <v>1.6666666666666667</v>
      </c>
      <c r="M164">
        <v>11284</v>
      </c>
      <c r="N164" s="7">
        <f>Table32[[#This Row],[Cost]]/Table32[[#This Row],[Units Sold]]</f>
        <v>1.5</v>
      </c>
      <c r="O164">
        <v>4231.5</v>
      </c>
      <c r="T164" s="1"/>
    </row>
    <row r="165" spans="1:20">
      <c r="A165">
        <v>5</v>
      </c>
      <c r="B165">
        <v>454417</v>
      </c>
      <c r="C165" t="s">
        <v>14</v>
      </c>
      <c r="D165" s="2">
        <v>266</v>
      </c>
      <c r="E165" s="1">
        <v>43800</v>
      </c>
      <c r="F165">
        <v>1</v>
      </c>
      <c r="G165">
        <v>12</v>
      </c>
      <c r="H165">
        <v>2019</v>
      </c>
      <c r="I165" s="5">
        <f>(Table32[[#This Row],[Revenue]]/Table32[[#This Row],[Units Sold]])</f>
        <v>3</v>
      </c>
      <c r="J165" s="5">
        <f>Table32[[#This Row],[revenue/unit]]-Table32[[#This Row],[Cost/unit]]</f>
        <v>1.75</v>
      </c>
      <c r="K165">
        <f>Table32[[#This Row],[Revenue]]-Table32[[#This Row],[Cost]]</f>
        <v>465.5</v>
      </c>
      <c r="L165" s="6">
        <f>Table32[[#This Row],[Net Profit]]/Table32[[#This Row],[Cost]]</f>
        <v>1.4</v>
      </c>
      <c r="M165">
        <v>798</v>
      </c>
      <c r="N165" s="7">
        <f>Table32[[#This Row],[Cost]]/Table32[[#This Row],[Units Sold]]</f>
        <v>1.25</v>
      </c>
      <c r="O165">
        <v>332.5</v>
      </c>
      <c r="T165" s="1"/>
    </row>
    <row r="166" spans="1:20">
      <c r="A166">
        <v>2</v>
      </c>
      <c r="B166">
        <v>434482</v>
      </c>
      <c r="C166" t="s">
        <v>14</v>
      </c>
      <c r="D166" s="2">
        <v>1940</v>
      </c>
      <c r="E166" s="1">
        <v>43800</v>
      </c>
      <c r="F166">
        <v>1</v>
      </c>
      <c r="G166">
        <v>12</v>
      </c>
      <c r="H166">
        <v>2019</v>
      </c>
      <c r="I166" s="5">
        <f>(Table32[[#This Row],[Revenue]]/Table32[[#This Row],[Units Sold]])</f>
        <v>3</v>
      </c>
      <c r="J166" s="5">
        <f>Table32[[#This Row],[revenue/unit]]-Table32[[#This Row],[Cost/unit]]</f>
        <v>1.75</v>
      </c>
      <c r="K166">
        <f>Table32[[#This Row],[Revenue]]-Table32[[#This Row],[Cost]]</f>
        <v>3395</v>
      </c>
      <c r="L166" s="6">
        <f>Table32[[#This Row],[Net Profit]]/Table32[[#This Row],[Cost]]</f>
        <v>1.4</v>
      </c>
      <c r="M166">
        <v>5820</v>
      </c>
      <c r="N166" s="7">
        <f>Table32[[#This Row],[Cost]]/Table32[[#This Row],[Units Sold]]</f>
        <v>1.25</v>
      </c>
      <c r="O166">
        <v>2425</v>
      </c>
      <c r="T166" s="1"/>
    </row>
    <row r="167" spans="1:20">
      <c r="A167">
        <v>5</v>
      </c>
      <c r="B167">
        <v>562962</v>
      </c>
      <c r="C167" t="s">
        <v>14</v>
      </c>
      <c r="D167" s="2">
        <v>2436</v>
      </c>
      <c r="E167" s="1">
        <v>43800</v>
      </c>
      <c r="F167">
        <v>1</v>
      </c>
      <c r="G167">
        <v>12</v>
      </c>
      <c r="H167">
        <v>2019</v>
      </c>
      <c r="I167" s="5">
        <f>(Table32[[#This Row],[Revenue]]/Table32[[#This Row],[Units Sold]])</f>
        <v>3</v>
      </c>
      <c r="J167" s="5">
        <f>Table32[[#This Row],[revenue/unit]]-Table32[[#This Row],[Cost/unit]]</f>
        <v>1.75</v>
      </c>
      <c r="K167">
        <f>Table32[[#This Row],[Revenue]]-Table32[[#This Row],[Cost]]</f>
        <v>4263</v>
      </c>
      <c r="L167" s="6">
        <f>Table32[[#This Row],[Net Profit]]/Table32[[#This Row],[Cost]]</f>
        <v>1.4</v>
      </c>
      <c r="M167">
        <v>7308</v>
      </c>
      <c r="N167" s="7">
        <f>Table32[[#This Row],[Cost]]/Table32[[#This Row],[Units Sold]]</f>
        <v>1.25</v>
      </c>
      <c r="O167">
        <v>3045</v>
      </c>
      <c r="T167" s="1"/>
    </row>
    <row r="168" spans="1:20">
      <c r="A168">
        <v>3</v>
      </c>
      <c r="B168">
        <v>451947</v>
      </c>
      <c r="C168" t="s">
        <v>14</v>
      </c>
      <c r="D168" s="2">
        <v>808</v>
      </c>
      <c r="E168" s="1">
        <v>43800</v>
      </c>
      <c r="F168">
        <v>1</v>
      </c>
      <c r="G168">
        <v>12</v>
      </c>
      <c r="H168">
        <v>2019</v>
      </c>
      <c r="I168" s="5">
        <f>(Table32[[#This Row],[Revenue]]/Table32[[#This Row],[Units Sold]])</f>
        <v>3</v>
      </c>
      <c r="J168" s="5">
        <f>Table32[[#This Row],[revenue/unit]]-Table32[[#This Row],[Cost/unit]]</f>
        <v>1.75</v>
      </c>
      <c r="K168">
        <f>Table32[[#This Row],[Revenue]]-Table32[[#This Row],[Cost]]</f>
        <v>1414</v>
      </c>
      <c r="L168" s="6">
        <f>Table32[[#This Row],[Net Profit]]/Table32[[#This Row],[Cost]]</f>
        <v>1.4</v>
      </c>
      <c r="M168">
        <v>2424</v>
      </c>
      <c r="N168" s="7">
        <f>Table32[[#This Row],[Cost]]/Table32[[#This Row],[Units Sold]]</f>
        <v>1.25</v>
      </c>
      <c r="O168">
        <v>1010</v>
      </c>
      <c r="T168" s="1"/>
    </row>
    <row r="169" spans="1:20">
      <c r="A169">
        <v>2</v>
      </c>
      <c r="B169">
        <v>366080</v>
      </c>
      <c r="C169" t="s">
        <v>14</v>
      </c>
      <c r="D169" s="2">
        <v>1870</v>
      </c>
      <c r="E169" s="1">
        <v>43800</v>
      </c>
      <c r="F169">
        <v>1</v>
      </c>
      <c r="G169">
        <v>12</v>
      </c>
      <c r="H169">
        <v>2019</v>
      </c>
      <c r="I169" s="5">
        <f>(Table32[[#This Row],[Revenue]]/Table32[[#This Row],[Units Sold]])</f>
        <v>3</v>
      </c>
      <c r="J169" s="5">
        <f>Table32[[#This Row],[revenue/unit]]-Table32[[#This Row],[Cost/unit]]</f>
        <v>1.75</v>
      </c>
      <c r="K169">
        <f>Table32[[#This Row],[Revenue]]-Table32[[#This Row],[Cost]]</f>
        <v>3272.5</v>
      </c>
      <c r="L169" s="6">
        <f>Table32[[#This Row],[Net Profit]]/Table32[[#This Row],[Cost]]</f>
        <v>1.4</v>
      </c>
      <c r="M169">
        <v>5610</v>
      </c>
      <c r="N169" s="7">
        <f>Table32[[#This Row],[Cost]]/Table32[[#This Row],[Units Sold]]</f>
        <v>1.25</v>
      </c>
      <c r="O169">
        <v>2337.5</v>
      </c>
      <c r="T169" s="1"/>
    </row>
    <row r="170" spans="1:20">
      <c r="A170">
        <v>5</v>
      </c>
      <c r="B170">
        <v>510933</v>
      </c>
      <c r="C170" t="s">
        <v>14</v>
      </c>
      <c r="D170" s="2">
        <v>1281</v>
      </c>
      <c r="E170" s="1">
        <v>43800</v>
      </c>
      <c r="F170">
        <v>1</v>
      </c>
      <c r="G170">
        <v>12</v>
      </c>
      <c r="H170">
        <v>2019</v>
      </c>
      <c r="I170" s="5">
        <f>(Table32[[#This Row],[Revenue]]/Table32[[#This Row],[Units Sold]])</f>
        <v>3</v>
      </c>
      <c r="J170" s="5">
        <f>Table32[[#This Row],[revenue/unit]]-Table32[[#This Row],[Cost/unit]]</f>
        <v>1.75</v>
      </c>
      <c r="K170">
        <f>Table32[[#This Row],[Revenue]]-Table32[[#This Row],[Cost]]</f>
        <v>2241.75</v>
      </c>
      <c r="L170" s="6">
        <f>Table32[[#This Row],[Net Profit]]/Table32[[#This Row],[Cost]]</f>
        <v>1.4</v>
      </c>
      <c r="M170">
        <v>3843</v>
      </c>
      <c r="N170" s="7">
        <f>Table32[[#This Row],[Cost]]/Table32[[#This Row],[Units Sold]]</f>
        <v>1.25</v>
      </c>
      <c r="O170">
        <v>1601.25</v>
      </c>
      <c r="T170" s="1"/>
    </row>
    <row r="171" spans="1:20">
      <c r="A171">
        <v>5</v>
      </c>
      <c r="B171">
        <v>214845</v>
      </c>
      <c r="C171" t="s">
        <v>15</v>
      </c>
      <c r="D171" s="2">
        <v>544</v>
      </c>
      <c r="E171" s="1">
        <v>43800</v>
      </c>
      <c r="F171">
        <v>1</v>
      </c>
      <c r="G171">
        <v>12</v>
      </c>
      <c r="H171">
        <v>2019</v>
      </c>
      <c r="I171" s="5">
        <f>(Table32[[#This Row],[Revenue]]/Table32[[#This Row],[Units Sold]])</f>
        <v>6</v>
      </c>
      <c r="J171" s="5">
        <f>Table32[[#This Row],[revenue/unit]]-Table32[[#This Row],[Cost/unit]]</f>
        <v>3.25</v>
      </c>
      <c r="K171">
        <f>Table32[[#This Row],[Revenue]]-Table32[[#This Row],[Cost]]</f>
        <v>1768</v>
      </c>
      <c r="L171" s="6">
        <f>Table32[[#This Row],[Net Profit]]/Table32[[#This Row],[Cost]]</f>
        <v>1.1818181818181819</v>
      </c>
      <c r="M171">
        <v>3264</v>
      </c>
      <c r="N171" s="7">
        <f>Table32[[#This Row],[Cost]]/Table32[[#This Row],[Units Sold]]</f>
        <v>2.75</v>
      </c>
      <c r="O171">
        <v>1496</v>
      </c>
      <c r="T171" s="1"/>
    </row>
    <row r="172" spans="1:20">
      <c r="A172">
        <v>4</v>
      </c>
      <c r="B172">
        <v>234670</v>
      </c>
      <c r="C172" t="s">
        <v>15</v>
      </c>
      <c r="D172" s="2">
        <v>1033</v>
      </c>
      <c r="E172" s="1">
        <v>43800</v>
      </c>
      <c r="F172">
        <v>1</v>
      </c>
      <c r="G172">
        <v>12</v>
      </c>
      <c r="H172">
        <v>2019</v>
      </c>
      <c r="I172" s="5">
        <f>(Table32[[#This Row],[Revenue]]/Table32[[#This Row],[Units Sold]])</f>
        <v>6</v>
      </c>
      <c r="J172" s="5">
        <f>Table32[[#This Row],[revenue/unit]]-Table32[[#This Row],[Cost/unit]]</f>
        <v>3.25</v>
      </c>
      <c r="K172">
        <f>Table32[[#This Row],[Revenue]]-Table32[[#This Row],[Cost]]</f>
        <v>3357.25</v>
      </c>
      <c r="L172" s="6">
        <f>Table32[[#This Row],[Net Profit]]/Table32[[#This Row],[Cost]]</f>
        <v>1.1818181818181819</v>
      </c>
      <c r="M172">
        <v>6198</v>
      </c>
      <c r="N172" s="7">
        <f>Table32[[#This Row],[Cost]]/Table32[[#This Row],[Units Sold]]</f>
        <v>2.75</v>
      </c>
      <c r="O172">
        <v>2840.75</v>
      </c>
      <c r="T172" s="1"/>
    </row>
    <row r="173" spans="1:20">
      <c r="A173">
        <v>2</v>
      </c>
      <c r="B173">
        <v>562718</v>
      </c>
      <c r="C173" t="s">
        <v>15</v>
      </c>
      <c r="D173" s="2">
        <v>1421</v>
      </c>
      <c r="E173" s="1">
        <v>43800</v>
      </c>
      <c r="F173">
        <v>1</v>
      </c>
      <c r="G173">
        <v>12</v>
      </c>
      <c r="H173">
        <v>2019</v>
      </c>
      <c r="I173" s="5">
        <f>(Table32[[#This Row],[Revenue]]/Table32[[#This Row],[Units Sold]])</f>
        <v>6</v>
      </c>
      <c r="J173" s="5">
        <f>Table32[[#This Row],[revenue/unit]]-Table32[[#This Row],[Cost/unit]]</f>
        <v>3.25</v>
      </c>
      <c r="K173">
        <f>Table32[[#This Row],[Revenue]]-Table32[[#This Row],[Cost]]</f>
        <v>4618.25</v>
      </c>
      <c r="L173" s="6">
        <f>Table32[[#This Row],[Net Profit]]/Table32[[#This Row],[Cost]]</f>
        <v>1.1818181818181819</v>
      </c>
      <c r="M173">
        <v>8526</v>
      </c>
      <c r="N173" s="7">
        <f>Table32[[#This Row],[Cost]]/Table32[[#This Row],[Units Sold]]</f>
        <v>2.75</v>
      </c>
      <c r="O173">
        <v>3907.75</v>
      </c>
      <c r="T173" s="1"/>
    </row>
    <row r="174" spans="1:20">
      <c r="A174">
        <v>3</v>
      </c>
      <c r="B174">
        <v>629523</v>
      </c>
      <c r="C174" t="s">
        <v>15</v>
      </c>
      <c r="D174" s="2">
        <v>588</v>
      </c>
      <c r="E174" s="1">
        <v>43800</v>
      </c>
      <c r="F174">
        <v>1</v>
      </c>
      <c r="G174">
        <v>12</v>
      </c>
      <c r="H174">
        <v>2019</v>
      </c>
      <c r="I174" s="5">
        <f>(Table32[[#This Row],[Revenue]]/Table32[[#This Row],[Units Sold]])</f>
        <v>6</v>
      </c>
      <c r="J174" s="5">
        <f>Table32[[#This Row],[revenue/unit]]-Table32[[#This Row],[Cost/unit]]</f>
        <v>3.25</v>
      </c>
      <c r="K174">
        <f>Table32[[#This Row],[Revenue]]-Table32[[#This Row],[Cost]]</f>
        <v>1911</v>
      </c>
      <c r="L174" s="6">
        <f>Table32[[#This Row],[Net Profit]]/Table32[[#This Row],[Cost]]</f>
        <v>1.1818181818181819</v>
      </c>
      <c r="M174">
        <v>3528</v>
      </c>
      <c r="N174" s="7">
        <f>Table32[[#This Row],[Cost]]/Table32[[#This Row],[Units Sold]]</f>
        <v>2.75</v>
      </c>
      <c r="O174">
        <v>1617</v>
      </c>
      <c r="T174" s="1"/>
    </row>
    <row r="175" spans="1:20">
      <c r="A175">
        <v>2</v>
      </c>
      <c r="B175">
        <v>482625</v>
      </c>
      <c r="C175" t="s">
        <v>15</v>
      </c>
      <c r="D175" s="2">
        <v>1916</v>
      </c>
      <c r="E175" s="1">
        <v>43800</v>
      </c>
      <c r="F175">
        <v>1</v>
      </c>
      <c r="G175">
        <v>12</v>
      </c>
      <c r="H175">
        <v>2019</v>
      </c>
      <c r="I175" s="5">
        <f>(Table32[[#This Row],[Revenue]]/Table32[[#This Row],[Units Sold]])</f>
        <v>6</v>
      </c>
      <c r="J175" s="5">
        <f>Table32[[#This Row],[revenue/unit]]-Table32[[#This Row],[Cost/unit]]</f>
        <v>3.25</v>
      </c>
      <c r="K175">
        <f>Table32[[#This Row],[Revenue]]-Table32[[#This Row],[Cost]]</f>
        <v>6227</v>
      </c>
      <c r="L175" s="6">
        <f>Table32[[#This Row],[Net Profit]]/Table32[[#This Row],[Cost]]</f>
        <v>1.1818181818181819</v>
      </c>
      <c r="M175">
        <v>11496</v>
      </c>
      <c r="N175" s="7">
        <f>Table32[[#This Row],[Cost]]/Table32[[#This Row],[Units Sold]]</f>
        <v>2.75</v>
      </c>
      <c r="O175">
        <v>5269</v>
      </c>
      <c r="T175" s="1"/>
    </row>
    <row r="176" spans="1:20">
      <c r="A176">
        <v>4</v>
      </c>
      <c r="B176">
        <v>727940</v>
      </c>
      <c r="C176" t="s">
        <v>15</v>
      </c>
      <c r="D176" s="2">
        <v>2438</v>
      </c>
      <c r="E176" s="1">
        <v>43800</v>
      </c>
      <c r="F176">
        <v>1</v>
      </c>
      <c r="G176">
        <v>12</v>
      </c>
      <c r="H176">
        <v>2019</v>
      </c>
      <c r="I176" s="5">
        <f>(Table32[[#This Row],[Revenue]]/Table32[[#This Row],[Units Sold]])</f>
        <v>6</v>
      </c>
      <c r="J176" s="5">
        <f>Table32[[#This Row],[revenue/unit]]-Table32[[#This Row],[Cost/unit]]</f>
        <v>3.25</v>
      </c>
      <c r="K176">
        <f>Table32[[#This Row],[Revenue]]-Table32[[#This Row],[Cost]]</f>
        <v>7923.5</v>
      </c>
      <c r="L176" s="6">
        <f>Table32[[#This Row],[Net Profit]]/Table32[[#This Row],[Cost]]</f>
        <v>1.1818181818181819</v>
      </c>
      <c r="M176">
        <v>14628</v>
      </c>
      <c r="N176" s="7">
        <f>Table32[[#This Row],[Cost]]/Table32[[#This Row],[Units Sold]]</f>
        <v>2.75</v>
      </c>
      <c r="O176">
        <v>6704.5</v>
      </c>
      <c r="T176" s="1"/>
    </row>
    <row r="177" spans="1:20">
      <c r="A177">
        <v>4</v>
      </c>
      <c r="B177">
        <v>361305</v>
      </c>
      <c r="C177" t="s">
        <v>10</v>
      </c>
      <c r="D177" s="2">
        <v>3945</v>
      </c>
      <c r="E177" s="1">
        <v>43831</v>
      </c>
      <c r="F177">
        <v>1</v>
      </c>
      <c r="G177">
        <v>1</v>
      </c>
      <c r="H177">
        <v>2020</v>
      </c>
      <c r="I177" s="5">
        <f>(Table32[[#This Row],[Revenue]]/Table32[[#This Row],[Units Sold]])</f>
        <v>5</v>
      </c>
      <c r="J177" s="5">
        <f>Table32[[#This Row],[revenue/unit]]-Table32[[#This Row],[Cost/unit]]</f>
        <v>3</v>
      </c>
      <c r="K177">
        <f>Table32[[#This Row],[Revenue]]-Table32[[#This Row],[Cost]]</f>
        <v>11835</v>
      </c>
      <c r="L177" s="6">
        <f>Table32[[#This Row],[Net Profit]]/Table32[[#This Row],[Cost]]</f>
        <v>1.5</v>
      </c>
      <c r="M177">
        <v>19725</v>
      </c>
      <c r="N177" s="7">
        <f>Table32[[#This Row],[Cost]]/Table32[[#This Row],[Units Sold]]</f>
        <v>2</v>
      </c>
      <c r="O177">
        <v>7890</v>
      </c>
      <c r="T177" s="1"/>
    </row>
    <row r="178" spans="1:20">
      <c r="A178">
        <v>2</v>
      </c>
      <c r="B178">
        <v>859158</v>
      </c>
      <c r="C178" t="s">
        <v>10</v>
      </c>
      <c r="D178" s="2">
        <v>2434.5</v>
      </c>
      <c r="E178" s="1">
        <v>43831</v>
      </c>
      <c r="F178">
        <v>1</v>
      </c>
      <c r="G178">
        <v>1</v>
      </c>
      <c r="H178">
        <v>2020</v>
      </c>
      <c r="I178" s="5">
        <f>(Table32[[#This Row],[Revenue]]/Table32[[#This Row],[Units Sold]])</f>
        <v>5</v>
      </c>
      <c r="J178" s="5">
        <f>Table32[[#This Row],[revenue/unit]]-Table32[[#This Row],[Cost/unit]]</f>
        <v>3</v>
      </c>
      <c r="K178">
        <f>Table32[[#This Row],[Revenue]]-Table32[[#This Row],[Cost]]</f>
        <v>7303.5</v>
      </c>
      <c r="L178" s="6">
        <f>Table32[[#This Row],[Net Profit]]/Table32[[#This Row],[Cost]]</f>
        <v>1.5</v>
      </c>
      <c r="M178">
        <v>12172.5</v>
      </c>
      <c r="N178" s="7">
        <f>Table32[[#This Row],[Cost]]/Table32[[#This Row],[Units Sold]]</f>
        <v>2</v>
      </c>
      <c r="O178">
        <v>4869</v>
      </c>
      <c r="T178" s="1"/>
    </row>
    <row r="179" spans="1:20">
      <c r="A179">
        <v>3</v>
      </c>
      <c r="B179">
        <v>239419</v>
      </c>
      <c r="C179" t="s">
        <v>10</v>
      </c>
      <c r="D179" s="2">
        <v>4251</v>
      </c>
      <c r="E179" s="1">
        <v>43831</v>
      </c>
      <c r="F179">
        <v>1</v>
      </c>
      <c r="G179">
        <v>1</v>
      </c>
      <c r="H179">
        <v>2020</v>
      </c>
      <c r="I179" s="5">
        <f>(Table32[[#This Row],[Revenue]]/Table32[[#This Row],[Units Sold]])</f>
        <v>5</v>
      </c>
      <c r="J179" s="5">
        <f>Table32[[#This Row],[revenue/unit]]-Table32[[#This Row],[Cost/unit]]</f>
        <v>3</v>
      </c>
      <c r="K179">
        <f>Table32[[#This Row],[Revenue]]-Table32[[#This Row],[Cost]]</f>
        <v>12753</v>
      </c>
      <c r="L179" s="6">
        <f>Table32[[#This Row],[Net Profit]]/Table32[[#This Row],[Cost]]</f>
        <v>1.5</v>
      </c>
      <c r="M179">
        <v>21255</v>
      </c>
      <c r="N179" s="7">
        <f>Table32[[#This Row],[Cost]]/Table32[[#This Row],[Units Sold]]</f>
        <v>2</v>
      </c>
      <c r="O179">
        <v>8502</v>
      </c>
      <c r="T179" s="1"/>
    </row>
    <row r="180" spans="1:20">
      <c r="A180">
        <v>1</v>
      </c>
      <c r="B180">
        <v>631270</v>
      </c>
      <c r="C180" t="s">
        <v>10</v>
      </c>
      <c r="D180" s="2">
        <v>1372</v>
      </c>
      <c r="E180" s="1">
        <v>43831</v>
      </c>
      <c r="F180">
        <v>1</v>
      </c>
      <c r="G180">
        <v>1</v>
      </c>
      <c r="H180">
        <v>2020</v>
      </c>
      <c r="I180" s="5">
        <f>(Table32[[#This Row],[Revenue]]/Table32[[#This Row],[Units Sold]])</f>
        <v>5</v>
      </c>
      <c r="J180" s="5">
        <f>Table32[[#This Row],[revenue/unit]]-Table32[[#This Row],[Cost/unit]]</f>
        <v>3</v>
      </c>
      <c r="K180">
        <f>Table32[[#This Row],[Revenue]]-Table32[[#This Row],[Cost]]</f>
        <v>4116</v>
      </c>
      <c r="L180" s="6">
        <f>Table32[[#This Row],[Net Profit]]/Table32[[#This Row],[Cost]]</f>
        <v>1.5</v>
      </c>
      <c r="M180">
        <v>6860</v>
      </c>
      <c r="N180" s="7">
        <f>Table32[[#This Row],[Cost]]/Table32[[#This Row],[Units Sold]]</f>
        <v>2</v>
      </c>
      <c r="O180">
        <v>2744</v>
      </c>
      <c r="T180" s="1"/>
    </row>
    <row r="181" spans="1:20">
      <c r="A181">
        <v>2</v>
      </c>
      <c r="B181">
        <v>334678</v>
      </c>
      <c r="C181" t="s">
        <v>10</v>
      </c>
      <c r="D181" s="2">
        <v>2565</v>
      </c>
      <c r="E181" s="1">
        <v>43831</v>
      </c>
      <c r="F181">
        <v>1</v>
      </c>
      <c r="G181">
        <v>1</v>
      </c>
      <c r="H181">
        <v>2020</v>
      </c>
      <c r="I181" s="5">
        <f>(Table32[[#This Row],[Revenue]]/Table32[[#This Row],[Units Sold]])</f>
        <v>5</v>
      </c>
      <c r="J181" s="5">
        <f>Table32[[#This Row],[revenue/unit]]-Table32[[#This Row],[Cost/unit]]</f>
        <v>3</v>
      </c>
      <c r="K181">
        <f>Table32[[#This Row],[Revenue]]-Table32[[#This Row],[Cost]]</f>
        <v>7695</v>
      </c>
      <c r="L181" s="6">
        <f>Table32[[#This Row],[Net Profit]]/Table32[[#This Row],[Cost]]</f>
        <v>1.5</v>
      </c>
      <c r="M181">
        <v>12825</v>
      </c>
      <c r="N181" s="7">
        <f>Table32[[#This Row],[Cost]]/Table32[[#This Row],[Units Sold]]</f>
        <v>2</v>
      </c>
      <c r="O181">
        <v>5130</v>
      </c>
      <c r="T181" s="1"/>
    </row>
    <row r="182" spans="1:20">
      <c r="A182">
        <v>5</v>
      </c>
      <c r="B182">
        <v>527753</v>
      </c>
      <c r="C182" t="s">
        <v>10</v>
      </c>
      <c r="D182" s="2">
        <v>2417</v>
      </c>
      <c r="E182" s="1">
        <v>43831</v>
      </c>
      <c r="F182">
        <v>1</v>
      </c>
      <c r="G182">
        <v>1</v>
      </c>
      <c r="H182">
        <v>2020</v>
      </c>
      <c r="I182" s="5">
        <f>(Table32[[#This Row],[Revenue]]/Table32[[#This Row],[Units Sold]])</f>
        <v>5</v>
      </c>
      <c r="J182" s="5">
        <f>Table32[[#This Row],[revenue/unit]]-Table32[[#This Row],[Cost/unit]]</f>
        <v>3</v>
      </c>
      <c r="K182">
        <f>Table32[[#This Row],[Revenue]]-Table32[[#This Row],[Cost]]</f>
        <v>7251</v>
      </c>
      <c r="L182" s="6">
        <f>Table32[[#This Row],[Net Profit]]/Table32[[#This Row],[Cost]]</f>
        <v>1.5</v>
      </c>
      <c r="M182">
        <v>12085</v>
      </c>
      <c r="N182" s="7">
        <f>Table32[[#This Row],[Cost]]/Table32[[#This Row],[Units Sold]]</f>
        <v>2</v>
      </c>
      <c r="O182">
        <v>4834</v>
      </c>
      <c r="T182" s="1"/>
    </row>
    <row r="183" spans="1:20">
      <c r="A183">
        <v>3</v>
      </c>
      <c r="B183">
        <v>103317</v>
      </c>
      <c r="C183" t="s">
        <v>10</v>
      </c>
      <c r="D183" s="2">
        <v>873</v>
      </c>
      <c r="E183" s="1">
        <v>43831</v>
      </c>
      <c r="F183">
        <v>1</v>
      </c>
      <c r="G183">
        <v>1</v>
      </c>
      <c r="H183">
        <v>2020</v>
      </c>
      <c r="I183" s="5">
        <f>(Table32[[#This Row],[Revenue]]/Table32[[#This Row],[Units Sold]])</f>
        <v>5</v>
      </c>
      <c r="J183" s="5">
        <f>Table32[[#This Row],[revenue/unit]]-Table32[[#This Row],[Cost/unit]]</f>
        <v>3</v>
      </c>
      <c r="K183">
        <f>Table32[[#This Row],[Revenue]]-Table32[[#This Row],[Cost]]</f>
        <v>2619</v>
      </c>
      <c r="L183" s="6">
        <f>Table32[[#This Row],[Net Profit]]/Table32[[#This Row],[Cost]]</f>
        <v>1.5</v>
      </c>
      <c r="M183">
        <v>4365</v>
      </c>
      <c r="N183" s="7">
        <f>Table32[[#This Row],[Cost]]/Table32[[#This Row],[Units Sold]]</f>
        <v>2</v>
      </c>
      <c r="O183">
        <v>1746</v>
      </c>
      <c r="T183" s="1"/>
    </row>
    <row r="184" spans="1:20">
      <c r="A184">
        <v>2</v>
      </c>
      <c r="B184">
        <v>628402</v>
      </c>
      <c r="C184" t="s">
        <v>10</v>
      </c>
      <c r="D184" s="2">
        <v>3495</v>
      </c>
      <c r="E184" s="1">
        <v>43831</v>
      </c>
      <c r="F184">
        <v>1</v>
      </c>
      <c r="G184">
        <v>1</v>
      </c>
      <c r="H184">
        <v>2020</v>
      </c>
      <c r="I184" s="5">
        <f>(Table32[[#This Row],[Revenue]]/Table32[[#This Row],[Units Sold]])</f>
        <v>5</v>
      </c>
      <c r="J184" s="5">
        <f>Table32[[#This Row],[revenue/unit]]-Table32[[#This Row],[Cost/unit]]</f>
        <v>3</v>
      </c>
      <c r="K184">
        <f>Table32[[#This Row],[Revenue]]-Table32[[#This Row],[Cost]]</f>
        <v>10485</v>
      </c>
      <c r="L184" s="6">
        <f>Table32[[#This Row],[Net Profit]]/Table32[[#This Row],[Cost]]</f>
        <v>1.5</v>
      </c>
      <c r="M184">
        <v>17475</v>
      </c>
      <c r="N184" s="7">
        <f>Table32[[#This Row],[Cost]]/Table32[[#This Row],[Units Sold]]</f>
        <v>2</v>
      </c>
      <c r="O184">
        <v>6990</v>
      </c>
      <c r="T184" s="1"/>
    </row>
    <row r="185" spans="1:20">
      <c r="A185">
        <v>3</v>
      </c>
      <c r="B185">
        <v>710711</v>
      </c>
      <c r="C185" t="s">
        <v>10</v>
      </c>
      <c r="D185" s="2">
        <v>1438.5</v>
      </c>
      <c r="E185" s="1">
        <v>43831</v>
      </c>
      <c r="F185">
        <v>1</v>
      </c>
      <c r="G185">
        <v>1</v>
      </c>
      <c r="H185">
        <v>2020</v>
      </c>
      <c r="I185" s="5">
        <f>(Table32[[#This Row],[Revenue]]/Table32[[#This Row],[Units Sold]])</f>
        <v>5</v>
      </c>
      <c r="J185" s="5">
        <f>Table32[[#This Row],[revenue/unit]]-Table32[[#This Row],[Cost/unit]]</f>
        <v>3</v>
      </c>
      <c r="K185">
        <f>Table32[[#This Row],[Revenue]]-Table32[[#This Row],[Cost]]</f>
        <v>4315.5</v>
      </c>
      <c r="L185" s="6">
        <f>Table32[[#This Row],[Net Profit]]/Table32[[#This Row],[Cost]]</f>
        <v>1.5</v>
      </c>
      <c r="M185">
        <v>7192.5</v>
      </c>
      <c r="N185" s="7">
        <f>Table32[[#This Row],[Cost]]/Table32[[#This Row],[Units Sold]]</f>
        <v>2</v>
      </c>
      <c r="O185">
        <v>2877</v>
      </c>
      <c r="T185" s="1"/>
    </row>
    <row r="186" spans="1:20">
      <c r="A186">
        <v>5</v>
      </c>
      <c r="B186">
        <v>608863</v>
      </c>
      <c r="C186" t="s">
        <v>10</v>
      </c>
      <c r="D186" s="2">
        <v>807</v>
      </c>
      <c r="E186" s="1">
        <v>43831</v>
      </c>
      <c r="F186">
        <v>1</v>
      </c>
      <c r="G186">
        <v>1</v>
      </c>
      <c r="H186">
        <v>2020</v>
      </c>
      <c r="I186" s="5">
        <f>(Table32[[#This Row],[Revenue]]/Table32[[#This Row],[Units Sold]])</f>
        <v>5</v>
      </c>
      <c r="J186" s="5">
        <f>Table32[[#This Row],[revenue/unit]]-Table32[[#This Row],[Cost/unit]]</f>
        <v>3</v>
      </c>
      <c r="K186">
        <f>Table32[[#This Row],[Revenue]]-Table32[[#This Row],[Cost]]</f>
        <v>2421</v>
      </c>
      <c r="L186" s="6">
        <f>Table32[[#This Row],[Net Profit]]/Table32[[#This Row],[Cost]]</f>
        <v>1.5</v>
      </c>
      <c r="M186">
        <v>4035</v>
      </c>
      <c r="N186" s="7">
        <f>Table32[[#This Row],[Cost]]/Table32[[#This Row],[Units Sold]]</f>
        <v>2</v>
      </c>
      <c r="O186">
        <v>1614</v>
      </c>
      <c r="T186" s="1"/>
    </row>
    <row r="187" spans="1:20">
      <c r="A187">
        <v>3</v>
      </c>
      <c r="B187">
        <v>779079</v>
      </c>
      <c r="C187" t="s">
        <v>11</v>
      </c>
      <c r="D187" s="2">
        <v>1384.5</v>
      </c>
      <c r="E187" s="1">
        <v>43831</v>
      </c>
      <c r="F187">
        <v>1</v>
      </c>
      <c r="G187">
        <v>1</v>
      </c>
      <c r="H187">
        <v>2020</v>
      </c>
      <c r="I187" s="5">
        <f>(Table32[[#This Row],[Revenue]]/Table32[[#This Row],[Units Sold]])</f>
        <v>1</v>
      </c>
      <c r="J187" s="5">
        <f>Table32[[#This Row],[revenue/unit]]-Table32[[#This Row],[Cost/unit]]</f>
        <v>0.5</v>
      </c>
      <c r="K187">
        <f>Table32[[#This Row],[Revenue]]-Table32[[#This Row],[Cost]]</f>
        <v>692.25</v>
      </c>
      <c r="L187" s="6">
        <f>Table32[[#This Row],[Net Profit]]/Table32[[#This Row],[Cost]]</f>
        <v>1</v>
      </c>
      <c r="M187">
        <v>1384.5</v>
      </c>
      <c r="N187" s="7">
        <f>Table32[[#This Row],[Cost]]/Table32[[#This Row],[Units Sold]]</f>
        <v>0.5</v>
      </c>
      <c r="O187">
        <v>692.25</v>
      </c>
      <c r="T187" s="1"/>
    </row>
    <row r="188" spans="1:20">
      <c r="A188">
        <v>2</v>
      </c>
      <c r="B188">
        <v>336365</v>
      </c>
      <c r="C188" t="s">
        <v>11</v>
      </c>
      <c r="D188" s="2">
        <v>2340</v>
      </c>
      <c r="E188" s="1">
        <v>43831</v>
      </c>
      <c r="F188">
        <v>1</v>
      </c>
      <c r="G188">
        <v>1</v>
      </c>
      <c r="H188">
        <v>2020</v>
      </c>
      <c r="I188" s="5">
        <f>(Table32[[#This Row],[Revenue]]/Table32[[#This Row],[Units Sold]])</f>
        <v>1</v>
      </c>
      <c r="J188" s="5">
        <f>Table32[[#This Row],[revenue/unit]]-Table32[[#This Row],[Cost/unit]]</f>
        <v>0.5</v>
      </c>
      <c r="K188">
        <f>Table32[[#This Row],[Revenue]]-Table32[[#This Row],[Cost]]</f>
        <v>1170</v>
      </c>
      <c r="L188" s="6">
        <f>Table32[[#This Row],[Net Profit]]/Table32[[#This Row],[Cost]]</f>
        <v>1</v>
      </c>
      <c r="M188">
        <v>2340</v>
      </c>
      <c r="N188" s="7">
        <f>Table32[[#This Row],[Cost]]/Table32[[#This Row],[Units Sold]]</f>
        <v>0.5</v>
      </c>
      <c r="O188">
        <v>1170</v>
      </c>
      <c r="T188" s="1"/>
    </row>
    <row r="189" spans="1:20">
      <c r="A189">
        <v>5</v>
      </c>
      <c r="B189">
        <v>121208</v>
      </c>
      <c r="C189" t="s">
        <v>11</v>
      </c>
      <c r="D189" s="2">
        <v>766</v>
      </c>
      <c r="E189" s="1">
        <v>43831</v>
      </c>
      <c r="F189">
        <v>1</v>
      </c>
      <c r="G189">
        <v>1</v>
      </c>
      <c r="H189">
        <v>2020</v>
      </c>
      <c r="I189" s="5">
        <f>(Table32[[#This Row],[Revenue]]/Table32[[#This Row],[Units Sold]])</f>
        <v>1</v>
      </c>
      <c r="J189" s="5">
        <f>Table32[[#This Row],[revenue/unit]]-Table32[[#This Row],[Cost/unit]]</f>
        <v>0.5</v>
      </c>
      <c r="K189">
        <f>Table32[[#This Row],[Revenue]]-Table32[[#This Row],[Cost]]</f>
        <v>383</v>
      </c>
      <c r="L189" s="6">
        <f>Table32[[#This Row],[Net Profit]]/Table32[[#This Row],[Cost]]</f>
        <v>1</v>
      </c>
      <c r="M189">
        <v>766</v>
      </c>
      <c r="N189" s="7">
        <f>Table32[[#This Row],[Cost]]/Table32[[#This Row],[Units Sold]]</f>
        <v>0.5</v>
      </c>
      <c r="O189">
        <v>383</v>
      </c>
      <c r="T189" s="1"/>
    </row>
    <row r="190" spans="1:20">
      <c r="A190">
        <v>1</v>
      </c>
      <c r="B190">
        <v>348844</v>
      </c>
      <c r="C190" t="s">
        <v>11</v>
      </c>
      <c r="D190" s="2">
        <v>982.5</v>
      </c>
      <c r="E190" s="1">
        <v>43831</v>
      </c>
      <c r="F190">
        <v>1</v>
      </c>
      <c r="G190">
        <v>1</v>
      </c>
      <c r="H190">
        <v>2020</v>
      </c>
      <c r="I190" s="5">
        <f>(Table32[[#This Row],[Revenue]]/Table32[[#This Row],[Units Sold]])</f>
        <v>1</v>
      </c>
      <c r="J190" s="5">
        <f>Table32[[#This Row],[revenue/unit]]-Table32[[#This Row],[Cost/unit]]</f>
        <v>0.5</v>
      </c>
      <c r="K190">
        <f>Table32[[#This Row],[Revenue]]-Table32[[#This Row],[Cost]]</f>
        <v>491.25</v>
      </c>
      <c r="L190" s="6">
        <f>Table32[[#This Row],[Net Profit]]/Table32[[#This Row],[Cost]]</f>
        <v>1</v>
      </c>
      <c r="M190">
        <v>982.5</v>
      </c>
      <c r="N190" s="7">
        <f>Table32[[#This Row],[Cost]]/Table32[[#This Row],[Units Sold]]</f>
        <v>0.5</v>
      </c>
      <c r="O190">
        <v>491.25</v>
      </c>
      <c r="T190" s="1"/>
    </row>
    <row r="191" spans="1:20">
      <c r="A191">
        <v>5</v>
      </c>
      <c r="B191">
        <v>529423</v>
      </c>
      <c r="C191" t="s">
        <v>11</v>
      </c>
      <c r="D191" s="2">
        <v>2227.5</v>
      </c>
      <c r="E191" s="1">
        <v>43831</v>
      </c>
      <c r="F191">
        <v>1</v>
      </c>
      <c r="G191">
        <v>1</v>
      </c>
      <c r="H191">
        <v>2020</v>
      </c>
      <c r="I191" s="5">
        <f>(Table32[[#This Row],[Revenue]]/Table32[[#This Row],[Units Sold]])</f>
        <v>1</v>
      </c>
      <c r="J191" s="5">
        <f>Table32[[#This Row],[revenue/unit]]-Table32[[#This Row],[Cost/unit]]</f>
        <v>0.5</v>
      </c>
      <c r="K191">
        <f>Table32[[#This Row],[Revenue]]-Table32[[#This Row],[Cost]]</f>
        <v>1113.75</v>
      </c>
      <c r="L191" s="6">
        <f>Table32[[#This Row],[Net Profit]]/Table32[[#This Row],[Cost]]</f>
        <v>1</v>
      </c>
      <c r="M191">
        <v>2227.5</v>
      </c>
      <c r="N191" s="7">
        <f>Table32[[#This Row],[Cost]]/Table32[[#This Row],[Units Sold]]</f>
        <v>0.5</v>
      </c>
      <c r="O191">
        <v>1113.75</v>
      </c>
      <c r="T191" s="1"/>
    </row>
    <row r="192" spans="1:20">
      <c r="A192">
        <v>4</v>
      </c>
      <c r="B192">
        <v>131249</v>
      </c>
      <c r="C192" t="s">
        <v>12</v>
      </c>
      <c r="D192" s="2">
        <v>1987.5</v>
      </c>
      <c r="E192" s="1">
        <v>43831</v>
      </c>
      <c r="F192">
        <v>1</v>
      </c>
      <c r="G192">
        <v>1</v>
      </c>
      <c r="H192">
        <v>2020</v>
      </c>
      <c r="I192" s="5">
        <f>(Table32[[#This Row],[Revenue]]/Table32[[#This Row],[Units Sold]])</f>
        <v>5</v>
      </c>
      <c r="J192" s="5">
        <f>Table32[[#This Row],[revenue/unit]]-Table32[[#This Row],[Cost/unit]]</f>
        <v>2.8</v>
      </c>
      <c r="K192">
        <f>Table32[[#This Row],[Revenue]]-Table32[[#This Row],[Cost]]</f>
        <v>5565</v>
      </c>
      <c r="L192" s="6">
        <f>Table32[[#This Row],[Net Profit]]/Table32[[#This Row],[Cost]]</f>
        <v>1.2727272727272727</v>
      </c>
      <c r="M192">
        <v>9937.5</v>
      </c>
      <c r="N192" s="7">
        <f>Table32[[#This Row],[Cost]]/Table32[[#This Row],[Units Sold]]</f>
        <v>2.2000000000000002</v>
      </c>
      <c r="O192">
        <v>4372.5</v>
      </c>
      <c r="T192" s="1"/>
    </row>
    <row r="193" spans="1:20">
      <c r="A193">
        <v>4</v>
      </c>
      <c r="B193">
        <v>884057</v>
      </c>
      <c r="C193" t="s">
        <v>12</v>
      </c>
      <c r="D193" s="2">
        <v>579</v>
      </c>
      <c r="E193" s="1">
        <v>43831</v>
      </c>
      <c r="F193">
        <v>1</v>
      </c>
      <c r="G193">
        <v>1</v>
      </c>
      <c r="H193">
        <v>2020</v>
      </c>
      <c r="I193" s="5">
        <f>(Table32[[#This Row],[Revenue]]/Table32[[#This Row],[Units Sold]])</f>
        <v>5</v>
      </c>
      <c r="J193" s="5">
        <f>Table32[[#This Row],[revenue/unit]]-Table32[[#This Row],[Cost/unit]]</f>
        <v>2.8</v>
      </c>
      <c r="K193">
        <f>Table32[[#This Row],[Revenue]]-Table32[[#This Row],[Cost]]</f>
        <v>1621.1999999999998</v>
      </c>
      <c r="L193" s="6">
        <f>Table32[[#This Row],[Net Profit]]/Table32[[#This Row],[Cost]]</f>
        <v>1.2727272727272725</v>
      </c>
      <c r="M193">
        <v>2895</v>
      </c>
      <c r="N193" s="7">
        <f>Table32[[#This Row],[Cost]]/Table32[[#This Row],[Units Sold]]</f>
        <v>2.2000000000000002</v>
      </c>
      <c r="O193">
        <v>1273.8000000000002</v>
      </c>
      <c r="T193" s="1"/>
    </row>
    <row r="194" spans="1:20">
      <c r="A194">
        <v>3</v>
      </c>
      <c r="B194">
        <v>382237</v>
      </c>
      <c r="C194" t="s">
        <v>12</v>
      </c>
      <c r="D194" s="2">
        <v>3165</v>
      </c>
      <c r="E194" s="1">
        <v>43831</v>
      </c>
      <c r="F194">
        <v>1</v>
      </c>
      <c r="G194">
        <v>1</v>
      </c>
      <c r="H194">
        <v>2020</v>
      </c>
      <c r="I194" s="5">
        <f>(Table32[[#This Row],[Revenue]]/Table32[[#This Row],[Units Sold]])</f>
        <v>5</v>
      </c>
      <c r="J194" s="5">
        <f>Table32[[#This Row],[revenue/unit]]-Table32[[#This Row],[Cost/unit]]</f>
        <v>2.8</v>
      </c>
      <c r="K194">
        <f>Table32[[#This Row],[Revenue]]-Table32[[#This Row],[Cost]]</f>
        <v>8862</v>
      </c>
      <c r="L194" s="6">
        <f>Table32[[#This Row],[Net Profit]]/Table32[[#This Row],[Cost]]</f>
        <v>1.2727272727272725</v>
      </c>
      <c r="M194">
        <v>15825</v>
      </c>
      <c r="N194" s="7">
        <f>Table32[[#This Row],[Cost]]/Table32[[#This Row],[Units Sold]]</f>
        <v>2.2000000000000002</v>
      </c>
      <c r="O194">
        <v>6963.0000000000009</v>
      </c>
      <c r="T194" s="1"/>
    </row>
    <row r="195" spans="1:20">
      <c r="A195">
        <v>4</v>
      </c>
      <c r="B195">
        <v>424398</v>
      </c>
      <c r="C195" t="s">
        <v>12</v>
      </c>
      <c r="D195" s="2">
        <v>2629</v>
      </c>
      <c r="E195" s="1">
        <v>43831</v>
      </c>
      <c r="F195">
        <v>1</v>
      </c>
      <c r="G195">
        <v>1</v>
      </c>
      <c r="H195">
        <v>2020</v>
      </c>
      <c r="I195" s="5">
        <f>(Table32[[#This Row],[Revenue]]/Table32[[#This Row],[Units Sold]])</f>
        <v>5</v>
      </c>
      <c r="J195" s="5">
        <f>Table32[[#This Row],[revenue/unit]]-Table32[[#This Row],[Cost/unit]]</f>
        <v>2.8</v>
      </c>
      <c r="K195">
        <f>Table32[[#This Row],[Revenue]]-Table32[[#This Row],[Cost]]</f>
        <v>7361.2</v>
      </c>
      <c r="L195" s="6">
        <f>Table32[[#This Row],[Net Profit]]/Table32[[#This Row],[Cost]]</f>
        <v>1.2727272727272727</v>
      </c>
      <c r="M195">
        <v>13145</v>
      </c>
      <c r="N195" s="7">
        <f>Table32[[#This Row],[Cost]]/Table32[[#This Row],[Units Sold]]</f>
        <v>2.2000000000000002</v>
      </c>
      <c r="O195">
        <v>5783.8</v>
      </c>
      <c r="T195" s="1"/>
    </row>
    <row r="196" spans="1:20">
      <c r="A196">
        <v>1</v>
      </c>
      <c r="B196">
        <v>665489</v>
      </c>
      <c r="C196" t="s">
        <v>12</v>
      </c>
      <c r="D196" s="2">
        <v>1659</v>
      </c>
      <c r="E196" s="1">
        <v>43831</v>
      </c>
      <c r="F196">
        <v>1</v>
      </c>
      <c r="G196">
        <v>1</v>
      </c>
      <c r="H196">
        <v>2020</v>
      </c>
      <c r="I196" s="5">
        <f>(Table32[[#This Row],[Revenue]]/Table32[[#This Row],[Units Sold]])</f>
        <v>5</v>
      </c>
      <c r="J196" s="5">
        <f>Table32[[#This Row],[revenue/unit]]-Table32[[#This Row],[Cost/unit]]</f>
        <v>2.8</v>
      </c>
      <c r="K196">
        <f>Table32[[#This Row],[Revenue]]-Table32[[#This Row],[Cost]]</f>
        <v>4645.2</v>
      </c>
      <c r="L196" s="6">
        <f>Table32[[#This Row],[Net Profit]]/Table32[[#This Row],[Cost]]</f>
        <v>1.2727272727272727</v>
      </c>
      <c r="M196">
        <v>8295</v>
      </c>
      <c r="N196" s="7">
        <f>Table32[[#This Row],[Cost]]/Table32[[#This Row],[Units Sold]]</f>
        <v>2.2000000000000002</v>
      </c>
      <c r="O196">
        <v>3649.8</v>
      </c>
      <c r="T196" s="1"/>
    </row>
    <row r="197" spans="1:20">
      <c r="A197">
        <v>1</v>
      </c>
      <c r="B197">
        <v>194906</v>
      </c>
      <c r="C197" t="s">
        <v>13</v>
      </c>
      <c r="D197" s="2">
        <v>1618.5</v>
      </c>
      <c r="E197" s="1">
        <v>43831</v>
      </c>
      <c r="F197">
        <v>1</v>
      </c>
      <c r="G197">
        <v>1</v>
      </c>
      <c r="H197">
        <v>2020</v>
      </c>
      <c r="I197" s="5">
        <f>(Table32[[#This Row],[Revenue]]/Table32[[#This Row],[Units Sold]])</f>
        <v>4</v>
      </c>
      <c r="J197" s="5">
        <f>Table32[[#This Row],[revenue/unit]]-Table32[[#This Row],[Cost/unit]]</f>
        <v>2.5</v>
      </c>
      <c r="K197">
        <f>Table32[[#This Row],[Revenue]]-Table32[[#This Row],[Cost]]</f>
        <v>4046.25</v>
      </c>
      <c r="L197" s="6">
        <f>Table32[[#This Row],[Net Profit]]/Table32[[#This Row],[Cost]]</f>
        <v>1.6666666666666667</v>
      </c>
      <c r="M197">
        <v>6474</v>
      </c>
      <c r="N197" s="7">
        <f>Table32[[#This Row],[Cost]]/Table32[[#This Row],[Units Sold]]</f>
        <v>1.5</v>
      </c>
      <c r="O197">
        <v>2427.75</v>
      </c>
      <c r="T197" s="1"/>
    </row>
    <row r="198" spans="1:20">
      <c r="A198">
        <v>4</v>
      </c>
      <c r="B198">
        <v>858867</v>
      </c>
      <c r="C198" t="s">
        <v>13</v>
      </c>
      <c r="D198" s="2">
        <v>1321</v>
      </c>
      <c r="E198" s="1">
        <v>43831</v>
      </c>
      <c r="F198">
        <v>1</v>
      </c>
      <c r="G198">
        <v>1</v>
      </c>
      <c r="H198">
        <v>2020</v>
      </c>
      <c r="I198" s="5">
        <f>(Table32[[#This Row],[Revenue]]/Table32[[#This Row],[Units Sold]])</f>
        <v>4</v>
      </c>
      <c r="J198" s="5">
        <f>Table32[[#This Row],[revenue/unit]]-Table32[[#This Row],[Cost/unit]]</f>
        <v>2.5</v>
      </c>
      <c r="K198">
        <f>Table32[[#This Row],[Revenue]]-Table32[[#This Row],[Cost]]</f>
        <v>3302.5</v>
      </c>
      <c r="L198" s="6">
        <f>Table32[[#This Row],[Net Profit]]/Table32[[#This Row],[Cost]]</f>
        <v>1.6666666666666667</v>
      </c>
      <c r="M198">
        <v>5284</v>
      </c>
      <c r="N198" s="7">
        <f>Table32[[#This Row],[Cost]]/Table32[[#This Row],[Units Sold]]</f>
        <v>1.5</v>
      </c>
      <c r="O198">
        <v>1981.5</v>
      </c>
      <c r="T198" s="1"/>
    </row>
    <row r="199" spans="1:20">
      <c r="A199">
        <v>4</v>
      </c>
      <c r="B199">
        <v>137994</v>
      </c>
      <c r="C199" t="s">
        <v>13</v>
      </c>
      <c r="D199" s="2">
        <v>1117.5</v>
      </c>
      <c r="E199" s="1">
        <v>43831</v>
      </c>
      <c r="F199">
        <v>1</v>
      </c>
      <c r="G199">
        <v>1</v>
      </c>
      <c r="H199">
        <v>2020</v>
      </c>
      <c r="I199" s="5">
        <f>(Table32[[#This Row],[Revenue]]/Table32[[#This Row],[Units Sold]])</f>
        <v>4</v>
      </c>
      <c r="J199" s="5">
        <f>Table32[[#This Row],[revenue/unit]]-Table32[[#This Row],[Cost/unit]]</f>
        <v>2.5</v>
      </c>
      <c r="K199">
        <f>Table32[[#This Row],[Revenue]]-Table32[[#This Row],[Cost]]</f>
        <v>2793.75</v>
      </c>
      <c r="L199" s="6">
        <f>Table32[[#This Row],[Net Profit]]/Table32[[#This Row],[Cost]]</f>
        <v>1.6666666666666667</v>
      </c>
      <c r="M199">
        <v>4470</v>
      </c>
      <c r="N199" s="7">
        <f>Table32[[#This Row],[Cost]]/Table32[[#This Row],[Units Sold]]</f>
        <v>1.5</v>
      </c>
      <c r="O199">
        <v>1676.25</v>
      </c>
      <c r="T199" s="1"/>
    </row>
    <row r="200" spans="1:20">
      <c r="A200">
        <v>3</v>
      </c>
      <c r="B200">
        <v>728960</v>
      </c>
      <c r="C200" t="s">
        <v>13</v>
      </c>
      <c r="D200" s="2">
        <v>2521.5</v>
      </c>
      <c r="E200" s="1">
        <v>43831</v>
      </c>
      <c r="F200">
        <v>1</v>
      </c>
      <c r="G200">
        <v>1</v>
      </c>
      <c r="H200">
        <v>2020</v>
      </c>
      <c r="I200" s="5">
        <f>(Table32[[#This Row],[Revenue]]/Table32[[#This Row],[Units Sold]])</f>
        <v>4</v>
      </c>
      <c r="J200" s="5">
        <f>Table32[[#This Row],[revenue/unit]]-Table32[[#This Row],[Cost/unit]]</f>
        <v>2.5</v>
      </c>
      <c r="K200">
        <f>Table32[[#This Row],[Revenue]]-Table32[[#This Row],[Cost]]</f>
        <v>6303.75</v>
      </c>
      <c r="L200" s="6">
        <f>Table32[[#This Row],[Net Profit]]/Table32[[#This Row],[Cost]]</f>
        <v>1.6666666666666667</v>
      </c>
      <c r="M200">
        <v>10086</v>
      </c>
      <c r="N200" s="7">
        <f>Table32[[#This Row],[Cost]]/Table32[[#This Row],[Units Sold]]</f>
        <v>1.5</v>
      </c>
      <c r="O200">
        <v>3782.25</v>
      </c>
      <c r="T200" s="1"/>
    </row>
    <row r="201" spans="1:20">
      <c r="A201">
        <v>2</v>
      </c>
      <c r="B201">
        <v>444395</v>
      </c>
      <c r="C201" t="s">
        <v>14</v>
      </c>
      <c r="D201" s="2">
        <v>2479</v>
      </c>
      <c r="E201" s="1">
        <v>43831</v>
      </c>
      <c r="F201">
        <v>1</v>
      </c>
      <c r="G201">
        <v>1</v>
      </c>
      <c r="H201">
        <v>2020</v>
      </c>
      <c r="I201" s="5">
        <f>(Table32[[#This Row],[Revenue]]/Table32[[#This Row],[Units Sold]])</f>
        <v>3</v>
      </c>
      <c r="J201" s="5">
        <f>Table32[[#This Row],[revenue/unit]]-Table32[[#This Row],[Cost/unit]]</f>
        <v>1.75</v>
      </c>
      <c r="K201">
        <f>Table32[[#This Row],[Revenue]]-Table32[[#This Row],[Cost]]</f>
        <v>4338.25</v>
      </c>
      <c r="L201" s="6">
        <f>Table32[[#This Row],[Net Profit]]/Table32[[#This Row],[Cost]]</f>
        <v>1.4</v>
      </c>
      <c r="M201">
        <v>7437</v>
      </c>
      <c r="N201" s="7">
        <f>Table32[[#This Row],[Cost]]/Table32[[#This Row],[Units Sold]]</f>
        <v>1.25</v>
      </c>
      <c r="O201">
        <v>3098.75</v>
      </c>
      <c r="T201" s="1"/>
    </row>
    <row r="202" spans="1:20">
      <c r="A202">
        <v>5</v>
      </c>
      <c r="B202">
        <v>617395</v>
      </c>
      <c r="C202" t="s">
        <v>14</v>
      </c>
      <c r="D202" s="2">
        <v>3244.5</v>
      </c>
      <c r="E202" s="1">
        <v>43831</v>
      </c>
      <c r="F202">
        <v>1</v>
      </c>
      <c r="G202">
        <v>1</v>
      </c>
      <c r="H202">
        <v>2020</v>
      </c>
      <c r="I202" s="5">
        <f>(Table32[[#This Row],[Revenue]]/Table32[[#This Row],[Units Sold]])</f>
        <v>3</v>
      </c>
      <c r="J202" s="5">
        <f>Table32[[#This Row],[revenue/unit]]-Table32[[#This Row],[Cost/unit]]</f>
        <v>1.75</v>
      </c>
      <c r="K202">
        <f>Table32[[#This Row],[Revenue]]-Table32[[#This Row],[Cost]]</f>
        <v>5677.875</v>
      </c>
      <c r="L202" s="6">
        <f>Table32[[#This Row],[Net Profit]]/Table32[[#This Row],[Cost]]</f>
        <v>1.4</v>
      </c>
      <c r="M202">
        <v>9733.5</v>
      </c>
      <c r="N202" s="7">
        <f>Table32[[#This Row],[Cost]]/Table32[[#This Row],[Units Sold]]</f>
        <v>1.25</v>
      </c>
      <c r="O202">
        <v>4055.625</v>
      </c>
      <c r="T202" s="1"/>
    </row>
    <row r="203" spans="1:20">
      <c r="A203">
        <v>2</v>
      </c>
      <c r="B203">
        <v>462436</v>
      </c>
      <c r="C203" t="s">
        <v>14</v>
      </c>
      <c r="D203" s="2">
        <v>1956</v>
      </c>
      <c r="E203" s="1">
        <v>43831</v>
      </c>
      <c r="F203">
        <v>1</v>
      </c>
      <c r="G203">
        <v>1</v>
      </c>
      <c r="H203">
        <v>2020</v>
      </c>
      <c r="I203" s="5">
        <f>(Table32[[#This Row],[Revenue]]/Table32[[#This Row],[Units Sold]])</f>
        <v>3</v>
      </c>
      <c r="J203" s="5">
        <f>Table32[[#This Row],[revenue/unit]]-Table32[[#This Row],[Cost/unit]]</f>
        <v>1.75</v>
      </c>
      <c r="K203">
        <f>Table32[[#This Row],[Revenue]]-Table32[[#This Row],[Cost]]</f>
        <v>3423</v>
      </c>
      <c r="L203" s="6">
        <f>Table32[[#This Row],[Net Profit]]/Table32[[#This Row],[Cost]]</f>
        <v>1.4</v>
      </c>
      <c r="M203">
        <v>5868</v>
      </c>
      <c r="N203" s="7">
        <f>Table32[[#This Row],[Cost]]/Table32[[#This Row],[Units Sold]]</f>
        <v>1.25</v>
      </c>
      <c r="O203">
        <v>2445</v>
      </c>
      <c r="T203" s="1"/>
    </row>
    <row r="204" spans="1:20">
      <c r="A204">
        <v>2</v>
      </c>
      <c r="B204">
        <v>153144</v>
      </c>
      <c r="C204" t="s">
        <v>14</v>
      </c>
      <c r="D204" s="2">
        <v>1734</v>
      </c>
      <c r="E204" s="1">
        <v>43831</v>
      </c>
      <c r="F204">
        <v>1</v>
      </c>
      <c r="G204">
        <v>1</v>
      </c>
      <c r="H204">
        <v>2020</v>
      </c>
      <c r="I204" s="5">
        <f>(Table32[[#This Row],[Revenue]]/Table32[[#This Row],[Units Sold]])</f>
        <v>3</v>
      </c>
      <c r="J204" s="5">
        <f>Table32[[#This Row],[revenue/unit]]-Table32[[#This Row],[Cost/unit]]</f>
        <v>1.75</v>
      </c>
      <c r="K204">
        <f>Table32[[#This Row],[Revenue]]-Table32[[#This Row],[Cost]]</f>
        <v>3034.5</v>
      </c>
      <c r="L204" s="6">
        <f>Table32[[#This Row],[Net Profit]]/Table32[[#This Row],[Cost]]</f>
        <v>1.4</v>
      </c>
      <c r="M204">
        <v>5202</v>
      </c>
      <c r="N204" s="7">
        <f>Table32[[#This Row],[Cost]]/Table32[[#This Row],[Units Sold]]</f>
        <v>1.25</v>
      </c>
      <c r="O204">
        <v>2167.5</v>
      </c>
      <c r="T204" s="1"/>
    </row>
    <row r="205" spans="1:20">
      <c r="A205">
        <v>3</v>
      </c>
      <c r="B205">
        <v>878522</v>
      </c>
      <c r="C205" t="s">
        <v>14</v>
      </c>
      <c r="D205" s="2">
        <v>554</v>
      </c>
      <c r="E205" s="1">
        <v>43831</v>
      </c>
      <c r="F205">
        <v>1</v>
      </c>
      <c r="G205">
        <v>1</v>
      </c>
      <c r="H205">
        <v>2020</v>
      </c>
      <c r="I205" s="5">
        <f>(Table32[[#This Row],[Revenue]]/Table32[[#This Row],[Units Sold]])</f>
        <v>3</v>
      </c>
      <c r="J205" s="5">
        <f>Table32[[#This Row],[revenue/unit]]-Table32[[#This Row],[Cost/unit]]</f>
        <v>1.75</v>
      </c>
      <c r="K205">
        <f>Table32[[#This Row],[Revenue]]-Table32[[#This Row],[Cost]]</f>
        <v>969.5</v>
      </c>
      <c r="L205" s="6">
        <f>Table32[[#This Row],[Net Profit]]/Table32[[#This Row],[Cost]]</f>
        <v>1.4</v>
      </c>
      <c r="M205">
        <v>1662</v>
      </c>
      <c r="N205" s="7">
        <f>Table32[[#This Row],[Cost]]/Table32[[#This Row],[Units Sold]]</f>
        <v>1.25</v>
      </c>
      <c r="O205">
        <v>692.5</v>
      </c>
      <c r="T205" s="1"/>
    </row>
    <row r="206" spans="1:20">
      <c r="A206">
        <v>2</v>
      </c>
      <c r="B206">
        <v>616386</v>
      </c>
      <c r="C206" t="s">
        <v>15</v>
      </c>
      <c r="D206" s="2">
        <v>1493</v>
      </c>
      <c r="E206" s="1">
        <v>43831</v>
      </c>
      <c r="F206">
        <v>1</v>
      </c>
      <c r="G206">
        <v>1</v>
      </c>
      <c r="H206">
        <v>2020</v>
      </c>
      <c r="I206" s="5">
        <f>(Table32[[#This Row],[Revenue]]/Table32[[#This Row],[Units Sold]])</f>
        <v>6</v>
      </c>
      <c r="J206" s="5">
        <f>Table32[[#This Row],[revenue/unit]]-Table32[[#This Row],[Cost/unit]]</f>
        <v>3.25</v>
      </c>
      <c r="K206">
        <f>Table32[[#This Row],[Revenue]]-Table32[[#This Row],[Cost]]</f>
        <v>4852.25</v>
      </c>
      <c r="L206" s="6">
        <f>Table32[[#This Row],[Net Profit]]/Table32[[#This Row],[Cost]]</f>
        <v>1.1818181818181819</v>
      </c>
      <c r="M206">
        <v>8958</v>
      </c>
      <c r="N206" s="7">
        <f>Table32[[#This Row],[Cost]]/Table32[[#This Row],[Units Sold]]</f>
        <v>2.75</v>
      </c>
      <c r="O206">
        <v>4105.75</v>
      </c>
      <c r="T206" s="1"/>
    </row>
    <row r="207" spans="1:20">
      <c r="A207">
        <v>1</v>
      </c>
      <c r="B207">
        <v>197116</v>
      </c>
      <c r="C207" t="s">
        <v>15</v>
      </c>
      <c r="D207" s="2">
        <v>555</v>
      </c>
      <c r="E207" s="1">
        <v>43831</v>
      </c>
      <c r="F207">
        <v>1</v>
      </c>
      <c r="G207">
        <v>1</v>
      </c>
      <c r="H207">
        <v>2020</v>
      </c>
      <c r="I207" s="5">
        <f>(Table32[[#This Row],[Revenue]]/Table32[[#This Row],[Units Sold]])</f>
        <v>6</v>
      </c>
      <c r="J207" s="5">
        <f>Table32[[#This Row],[revenue/unit]]-Table32[[#This Row],[Cost/unit]]</f>
        <v>3.25</v>
      </c>
      <c r="K207">
        <f>Table32[[#This Row],[Revenue]]-Table32[[#This Row],[Cost]]</f>
        <v>1803.75</v>
      </c>
      <c r="L207" s="6">
        <f>Table32[[#This Row],[Net Profit]]/Table32[[#This Row],[Cost]]</f>
        <v>1.1818181818181819</v>
      </c>
      <c r="M207">
        <v>3330</v>
      </c>
      <c r="N207" s="7">
        <f>Table32[[#This Row],[Cost]]/Table32[[#This Row],[Units Sold]]</f>
        <v>2.75</v>
      </c>
      <c r="O207">
        <v>1526.25</v>
      </c>
      <c r="T207" s="1"/>
    </row>
    <row r="208" spans="1:20">
      <c r="A208">
        <v>5</v>
      </c>
      <c r="B208">
        <v>165918</v>
      </c>
      <c r="C208" t="s">
        <v>15</v>
      </c>
      <c r="D208" s="2">
        <v>2861</v>
      </c>
      <c r="E208" s="1">
        <v>43831</v>
      </c>
      <c r="F208">
        <v>1</v>
      </c>
      <c r="G208">
        <v>1</v>
      </c>
      <c r="H208">
        <v>2020</v>
      </c>
      <c r="I208" s="5">
        <f>(Table32[[#This Row],[Revenue]]/Table32[[#This Row],[Units Sold]])</f>
        <v>6</v>
      </c>
      <c r="J208" s="5">
        <f>Table32[[#This Row],[revenue/unit]]-Table32[[#This Row],[Cost/unit]]</f>
        <v>3.25</v>
      </c>
      <c r="K208">
        <f>Table32[[#This Row],[Revenue]]-Table32[[#This Row],[Cost]]</f>
        <v>9298.25</v>
      </c>
      <c r="L208" s="6">
        <f>Table32[[#This Row],[Net Profit]]/Table32[[#This Row],[Cost]]</f>
        <v>1.1818181818181819</v>
      </c>
      <c r="M208">
        <v>17166</v>
      </c>
      <c r="N208" s="7">
        <f>Table32[[#This Row],[Cost]]/Table32[[#This Row],[Units Sold]]</f>
        <v>2.75</v>
      </c>
      <c r="O208">
        <v>7867.75</v>
      </c>
      <c r="T208" s="1"/>
    </row>
    <row r="209" spans="1:20">
      <c r="A209">
        <v>1</v>
      </c>
      <c r="B209">
        <v>311475</v>
      </c>
      <c r="C209" t="s">
        <v>15</v>
      </c>
      <c r="D209" s="2">
        <v>681</v>
      </c>
      <c r="E209" s="1">
        <v>43831</v>
      </c>
      <c r="F209">
        <v>1</v>
      </c>
      <c r="G209">
        <v>1</v>
      </c>
      <c r="H209">
        <v>2020</v>
      </c>
      <c r="I209" s="5">
        <f>(Table32[[#This Row],[Revenue]]/Table32[[#This Row],[Units Sold]])</f>
        <v>6</v>
      </c>
      <c r="J209" s="5">
        <f>Table32[[#This Row],[revenue/unit]]-Table32[[#This Row],[Cost/unit]]</f>
        <v>3.25</v>
      </c>
      <c r="K209">
        <f>Table32[[#This Row],[Revenue]]-Table32[[#This Row],[Cost]]</f>
        <v>2213.25</v>
      </c>
      <c r="L209" s="6">
        <f>Table32[[#This Row],[Net Profit]]/Table32[[#This Row],[Cost]]</f>
        <v>1.1818181818181819</v>
      </c>
      <c r="M209">
        <v>4086</v>
      </c>
      <c r="N209" s="7">
        <f>Table32[[#This Row],[Cost]]/Table32[[#This Row],[Units Sold]]</f>
        <v>2.75</v>
      </c>
      <c r="O209">
        <v>1872.75</v>
      </c>
      <c r="T209" s="1"/>
    </row>
    <row r="210" spans="1:20">
      <c r="A210">
        <v>3</v>
      </c>
      <c r="B210">
        <v>120418</v>
      </c>
      <c r="C210" t="s">
        <v>15</v>
      </c>
      <c r="D210" s="2">
        <v>384</v>
      </c>
      <c r="E210" s="1">
        <v>43831</v>
      </c>
      <c r="F210">
        <v>1</v>
      </c>
      <c r="G210">
        <v>1</v>
      </c>
      <c r="H210">
        <v>2020</v>
      </c>
      <c r="I210" s="5">
        <f>(Table32[[#This Row],[Revenue]]/Table32[[#This Row],[Units Sold]])</f>
        <v>6</v>
      </c>
      <c r="J210" s="5">
        <f>Table32[[#This Row],[revenue/unit]]-Table32[[#This Row],[Cost/unit]]</f>
        <v>3.25</v>
      </c>
      <c r="K210">
        <f>Table32[[#This Row],[Revenue]]-Table32[[#This Row],[Cost]]</f>
        <v>1248</v>
      </c>
      <c r="L210" s="6">
        <f>Table32[[#This Row],[Net Profit]]/Table32[[#This Row],[Cost]]</f>
        <v>1.1818181818181819</v>
      </c>
      <c r="M210">
        <v>2304</v>
      </c>
      <c r="N210" s="7">
        <f>Table32[[#This Row],[Cost]]/Table32[[#This Row],[Units Sold]]</f>
        <v>2.75</v>
      </c>
      <c r="O210">
        <v>1056</v>
      </c>
      <c r="T210" s="1"/>
    </row>
    <row r="211" spans="1:20">
      <c r="A211">
        <v>3</v>
      </c>
      <c r="B211">
        <v>397386</v>
      </c>
      <c r="C211" t="s">
        <v>15</v>
      </c>
      <c r="D211" s="2">
        <v>3997.5</v>
      </c>
      <c r="E211" s="1">
        <v>43831</v>
      </c>
      <c r="F211">
        <v>1</v>
      </c>
      <c r="G211">
        <v>1</v>
      </c>
      <c r="H211">
        <v>2020</v>
      </c>
      <c r="I211" s="5">
        <f>(Table32[[#This Row],[Revenue]]/Table32[[#This Row],[Units Sold]])</f>
        <v>6</v>
      </c>
      <c r="J211" s="5">
        <f>Table32[[#This Row],[revenue/unit]]-Table32[[#This Row],[Cost/unit]]</f>
        <v>3.25</v>
      </c>
      <c r="K211">
        <f>Table32[[#This Row],[Revenue]]-Table32[[#This Row],[Cost]]</f>
        <v>12991.875</v>
      </c>
      <c r="L211" s="6">
        <f>Table32[[#This Row],[Net Profit]]/Table32[[#This Row],[Cost]]</f>
        <v>1.1818181818181819</v>
      </c>
      <c r="M211">
        <v>23985</v>
      </c>
      <c r="N211" s="7">
        <f>Table32[[#This Row],[Cost]]/Table32[[#This Row],[Units Sold]]</f>
        <v>2.75</v>
      </c>
      <c r="O211">
        <v>10993.125</v>
      </c>
      <c r="T211" s="1"/>
    </row>
    <row r="212" spans="1:20">
      <c r="A212">
        <v>3</v>
      </c>
      <c r="B212">
        <v>266868</v>
      </c>
      <c r="C212" t="s">
        <v>10</v>
      </c>
      <c r="D212" s="2">
        <v>292</v>
      </c>
      <c r="E212" s="1">
        <v>43862</v>
      </c>
      <c r="F212">
        <v>1</v>
      </c>
      <c r="G212">
        <v>2</v>
      </c>
      <c r="H212">
        <v>2020</v>
      </c>
      <c r="I212" s="5">
        <f>(Table32[[#This Row],[Revenue]]/Table32[[#This Row],[Units Sold]])</f>
        <v>5</v>
      </c>
      <c r="J212" s="5">
        <f>Table32[[#This Row],[revenue/unit]]-Table32[[#This Row],[Cost/unit]]</f>
        <v>3</v>
      </c>
      <c r="K212">
        <f>Table32[[#This Row],[Revenue]]-Table32[[#This Row],[Cost]]</f>
        <v>876</v>
      </c>
      <c r="L212" s="6">
        <f>Table32[[#This Row],[Net Profit]]/Table32[[#This Row],[Cost]]</f>
        <v>1.5</v>
      </c>
      <c r="M212">
        <v>1460</v>
      </c>
      <c r="N212" s="7">
        <f>Table32[[#This Row],[Cost]]/Table32[[#This Row],[Units Sold]]</f>
        <v>2</v>
      </c>
      <c r="O212">
        <v>584</v>
      </c>
      <c r="T212" s="1"/>
    </row>
    <row r="213" spans="1:20">
      <c r="A213">
        <v>3</v>
      </c>
      <c r="B213">
        <v>140794</v>
      </c>
      <c r="C213" t="s">
        <v>10</v>
      </c>
      <c r="D213" s="2">
        <v>974</v>
      </c>
      <c r="E213" s="1">
        <v>43862</v>
      </c>
      <c r="F213">
        <v>1</v>
      </c>
      <c r="G213">
        <v>2</v>
      </c>
      <c r="H213">
        <v>2020</v>
      </c>
      <c r="I213" s="5">
        <f>(Table32[[#This Row],[Revenue]]/Table32[[#This Row],[Units Sold]])</f>
        <v>5</v>
      </c>
      <c r="J213" s="5">
        <f>Table32[[#This Row],[revenue/unit]]-Table32[[#This Row],[Cost/unit]]</f>
        <v>3</v>
      </c>
      <c r="K213">
        <f>Table32[[#This Row],[Revenue]]-Table32[[#This Row],[Cost]]</f>
        <v>2922</v>
      </c>
      <c r="L213" s="6">
        <f>Table32[[#This Row],[Net Profit]]/Table32[[#This Row],[Cost]]</f>
        <v>1.5</v>
      </c>
      <c r="M213">
        <v>4870</v>
      </c>
      <c r="N213" s="7">
        <f>Table32[[#This Row],[Cost]]/Table32[[#This Row],[Units Sold]]</f>
        <v>2</v>
      </c>
      <c r="O213">
        <v>1948</v>
      </c>
      <c r="T213" s="1"/>
    </row>
    <row r="214" spans="1:20">
      <c r="A214">
        <v>4</v>
      </c>
      <c r="B214">
        <v>579016</v>
      </c>
      <c r="C214" t="s">
        <v>10</v>
      </c>
      <c r="D214" s="2">
        <v>2296</v>
      </c>
      <c r="E214" s="1">
        <v>43862</v>
      </c>
      <c r="F214">
        <v>1</v>
      </c>
      <c r="G214">
        <v>2</v>
      </c>
      <c r="H214">
        <v>2020</v>
      </c>
      <c r="I214" s="5">
        <f>(Table32[[#This Row],[Revenue]]/Table32[[#This Row],[Units Sold]])</f>
        <v>5</v>
      </c>
      <c r="J214" s="5">
        <f>Table32[[#This Row],[revenue/unit]]-Table32[[#This Row],[Cost/unit]]</f>
        <v>3</v>
      </c>
      <c r="K214">
        <f>Table32[[#This Row],[Revenue]]-Table32[[#This Row],[Cost]]</f>
        <v>6888</v>
      </c>
      <c r="L214" s="6">
        <f>Table32[[#This Row],[Net Profit]]/Table32[[#This Row],[Cost]]</f>
        <v>1.5</v>
      </c>
      <c r="M214">
        <v>11480</v>
      </c>
      <c r="N214" s="7">
        <f>Table32[[#This Row],[Cost]]/Table32[[#This Row],[Units Sold]]</f>
        <v>2</v>
      </c>
      <c r="O214">
        <v>4592</v>
      </c>
      <c r="T214" s="1"/>
    </row>
    <row r="215" spans="1:20">
      <c r="A215">
        <v>3</v>
      </c>
      <c r="B215">
        <v>562219</v>
      </c>
      <c r="C215" t="s">
        <v>10</v>
      </c>
      <c r="D215" s="2">
        <v>1514</v>
      </c>
      <c r="E215" s="1">
        <v>43862</v>
      </c>
      <c r="F215">
        <v>1</v>
      </c>
      <c r="G215">
        <v>2</v>
      </c>
      <c r="H215">
        <v>2020</v>
      </c>
      <c r="I215" s="5">
        <f>(Table32[[#This Row],[Revenue]]/Table32[[#This Row],[Units Sold]])</f>
        <v>5</v>
      </c>
      <c r="J215" s="5">
        <f>Table32[[#This Row],[revenue/unit]]-Table32[[#This Row],[Cost/unit]]</f>
        <v>3</v>
      </c>
      <c r="K215">
        <f>Table32[[#This Row],[Revenue]]-Table32[[#This Row],[Cost]]</f>
        <v>4542</v>
      </c>
      <c r="L215" s="6">
        <f>Table32[[#This Row],[Net Profit]]/Table32[[#This Row],[Cost]]</f>
        <v>1.5</v>
      </c>
      <c r="M215">
        <v>7570</v>
      </c>
      <c r="N215" s="7">
        <f>Table32[[#This Row],[Cost]]/Table32[[#This Row],[Units Sold]]</f>
        <v>2</v>
      </c>
      <c r="O215">
        <v>3028</v>
      </c>
      <c r="T215" s="1"/>
    </row>
    <row r="216" spans="1:20">
      <c r="A216">
        <v>4</v>
      </c>
      <c r="B216">
        <v>550816</v>
      </c>
      <c r="C216" t="s">
        <v>10</v>
      </c>
      <c r="D216" s="2">
        <v>2363</v>
      </c>
      <c r="E216" s="1">
        <v>43862</v>
      </c>
      <c r="F216">
        <v>1</v>
      </c>
      <c r="G216">
        <v>2</v>
      </c>
      <c r="H216">
        <v>2020</v>
      </c>
      <c r="I216" s="5">
        <f>(Table32[[#This Row],[Revenue]]/Table32[[#This Row],[Units Sold]])</f>
        <v>5</v>
      </c>
      <c r="J216" s="5">
        <f>Table32[[#This Row],[revenue/unit]]-Table32[[#This Row],[Cost/unit]]</f>
        <v>3</v>
      </c>
      <c r="K216">
        <f>Table32[[#This Row],[Revenue]]-Table32[[#This Row],[Cost]]</f>
        <v>7089</v>
      </c>
      <c r="L216" s="6">
        <f>Table32[[#This Row],[Net Profit]]/Table32[[#This Row],[Cost]]</f>
        <v>1.5</v>
      </c>
      <c r="M216">
        <v>11815</v>
      </c>
      <c r="N216" s="7">
        <f>Table32[[#This Row],[Cost]]/Table32[[#This Row],[Units Sold]]</f>
        <v>2</v>
      </c>
      <c r="O216">
        <v>4726</v>
      </c>
      <c r="T216" s="1"/>
    </row>
    <row r="217" spans="1:20">
      <c r="A217">
        <v>5</v>
      </c>
      <c r="B217">
        <v>833644</v>
      </c>
      <c r="C217" t="s">
        <v>10</v>
      </c>
      <c r="D217" s="2">
        <v>1303</v>
      </c>
      <c r="E217" s="1">
        <v>43862</v>
      </c>
      <c r="F217">
        <v>1</v>
      </c>
      <c r="G217">
        <v>2</v>
      </c>
      <c r="H217">
        <v>2020</v>
      </c>
      <c r="I217" s="5">
        <f>(Table32[[#This Row],[Revenue]]/Table32[[#This Row],[Units Sold]])</f>
        <v>5</v>
      </c>
      <c r="J217" s="5">
        <f>Table32[[#This Row],[revenue/unit]]-Table32[[#This Row],[Cost/unit]]</f>
        <v>3</v>
      </c>
      <c r="K217">
        <f>Table32[[#This Row],[Revenue]]-Table32[[#This Row],[Cost]]</f>
        <v>3909</v>
      </c>
      <c r="L217" s="6">
        <f>Table32[[#This Row],[Net Profit]]/Table32[[#This Row],[Cost]]</f>
        <v>1.5</v>
      </c>
      <c r="M217">
        <v>6515</v>
      </c>
      <c r="N217" s="7">
        <f>Table32[[#This Row],[Cost]]/Table32[[#This Row],[Units Sold]]</f>
        <v>2</v>
      </c>
      <c r="O217">
        <v>2606</v>
      </c>
      <c r="T217" s="1"/>
    </row>
    <row r="218" spans="1:20">
      <c r="A218">
        <v>3</v>
      </c>
      <c r="B218">
        <v>388978</v>
      </c>
      <c r="C218" t="s">
        <v>10</v>
      </c>
      <c r="D218" s="2">
        <v>2641</v>
      </c>
      <c r="E218" s="1">
        <v>43862</v>
      </c>
      <c r="F218">
        <v>1</v>
      </c>
      <c r="G218">
        <v>2</v>
      </c>
      <c r="H218">
        <v>2020</v>
      </c>
      <c r="I218" s="5">
        <f>(Table32[[#This Row],[Revenue]]/Table32[[#This Row],[Units Sold]])</f>
        <v>5</v>
      </c>
      <c r="J218" s="5">
        <f>Table32[[#This Row],[revenue/unit]]-Table32[[#This Row],[Cost/unit]]</f>
        <v>3</v>
      </c>
      <c r="K218">
        <f>Table32[[#This Row],[Revenue]]-Table32[[#This Row],[Cost]]</f>
        <v>7923</v>
      </c>
      <c r="L218" s="6">
        <f>Table32[[#This Row],[Net Profit]]/Table32[[#This Row],[Cost]]</f>
        <v>1.5</v>
      </c>
      <c r="M218">
        <v>13205</v>
      </c>
      <c r="N218" s="7">
        <f>Table32[[#This Row],[Cost]]/Table32[[#This Row],[Units Sold]]</f>
        <v>2</v>
      </c>
      <c r="O218">
        <v>5282</v>
      </c>
      <c r="T218" s="1"/>
    </row>
    <row r="219" spans="1:20">
      <c r="A219">
        <v>2</v>
      </c>
      <c r="B219">
        <v>209116</v>
      </c>
      <c r="C219" t="s">
        <v>10</v>
      </c>
      <c r="D219" s="2">
        <v>2708</v>
      </c>
      <c r="E219" s="1">
        <v>43862</v>
      </c>
      <c r="F219">
        <v>1</v>
      </c>
      <c r="G219">
        <v>2</v>
      </c>
      <c r="H219">
        <v>2020</v>
      </c>
      <c r="I219" s="5">
        <f>(Table32[[#This Row],[Revenue]]/Table32[[#This Row],[Units Sold]])</f>
        <v>5</v>
      </c>
      <c r="J219" s="5">
        <f>Table32[[#This Row],[revenue/unit]]-Table32[[#This Row],[Cost/unit]]</f>
        <v>3</v>
      </c>
      <c r="K219">
        <f>Table32[[#This Row],[Revenue]]-Table32[[#This Row],[Cost]]</f>
        <v>8124</v>
      </c>
      <c r="L219" s="6">
        <f>Table32[[#This Row],[Net Profit]]/Table32[[#This Row],[Cost]]</f>
        <v>1.5</v>
      </c>
      <c r="M219">
        <v>13540</v>
      </c>
      <c r="N219" s="7">
        <f>Table32[[#This Row],[Cost]]/Table32[[#This Row],[Units Sold]]</f>
        <v>2</v>
      </c>
      <c r="O219">
        <v>5416</v>
      </c>
      <c r="T219" s="1"/>
    </row>
    <row r="220" spans="1:20">
      <c r="A220">
        <v>3</v>
      </c>
      <c r="B220">
        <v>217341</v>
      </c>
      <c r="C220" t="s">
        <v>10</v>
      </c>
      <c r="D220" s="2">
        <v>278</v>
      </c>
      <c r="E220" s="1">
        <v>43862</v>
      </c>
      <c r="F220">
        <v>1</v>
      </c>
      <c r="G220">
        <v>2</v>
      </c>
      <c r="H220">
        <v>2020</v>
      </c>
      <c r="I220" s="5">
        <f>(Table32[[#This Row],[Revenue]]/Table32[[#This Row],[Units Sold]])</f>
        <v>5</v>
      </c>
      <c r="J220" s="5">
        <f>Table32[[#This Row],[revenue/unit]]-Table32[[#This Row],[Cost/unit]]</f>
        <v>3</v>
      </c>
      <c r="K220">
        <f>Table32[[#This Row],[Revenue]]-Table32[[#This Row],[Cost]]</f>
        <v>834</v>
      </c>
      <c r="L220" s="6">
        <f>Table32[[#This Row],[Net Profit]]/Table32[[#This Row],[Cost]]</f>
        <v>1.5</v>
      </c>
      <c r="M220">
        <v>1390</v>
      </c>
      <c r="N220" s="7">
        <f>Table32[[#This Row],[Cost]]/Table32[[#This Row],[Units Sold]]</f>
        <v>2</v>
      </c>
      <c r="O220">
        <v>556</v>
      </c>
      <c r="T220" s="1"/>
    </row>
    <row r="221" spans="1:20">
      <c r="A221">
        <v>3</v>
      </c>
      <c r="B221">
        <v>358353</v>
      </c>
      <c r="C221" t="s">
        <v>10</v>
      </c>
      <c r="D221" s="2">
        <v>260</v>
      </c>
      <c r="E221" s="1">
        <v>43862</v>
      </c>
      <c r="F221">
        <v>1</v>
      </c>
      <c r="G221">
        <v>2</v>
      </c>
      <c r="H221">
        <v>2020</v>
      </c>
      <c r="I221" s="5">
        <f>(Table32[[#This Row],[Revenue]]/Table32[[#This Row],[Units Sold]])</f>
        <v>5</v>
      </c>
      <c r="J221" s="5">
        <f>Table32[[#This Row],[revenue/unit]]-Table32[[#This Row],[Cost/unit]]</f>
        <v>3</v>
      </c>
      <c r="K221">
        <f>Table32[[#This Row],[Revenue]]-Table32[[#This Row],[Cost]]</f>
        <v>780</v>
      </c>
      <c r="L221" s="6">
        <f>Table32[[#This Row],[Net Profit]]/Table32[[#This Row],[Cost]]</f>
        <v>1.5</v>
      </c>
      <c r="M221">
        <v>1300</v>
      </c>
      <c r="N221" s="7">
        <f>Table32[[#This Row],[Cost]]/Table32[[#This Row],[Units Sold]]</f>
        <v>2</v>
      </c>
      <c r="O221">
        <v>520</v>
      </c>
      <c r="T221" s="1"/>
    </row>
    <row r="222" spans="1:20">
      <c r="A222">
        <v>5</v>
      </c>
      <c r="B222">
        <v>570270</v>
      </c>
      <c r="C222" t="s">
        <v>11</v>
      </c>
      <c r="D222" s="2">
        <v>1958</v>
      </c>
      <c r="E222" s="1">
        <v>43862</v>
      </c>
      <c r="F222">
        <v>1</v>
      </c>
      <c r="G222">
        <v>2</v>
      </c>
      <c r="H222">
        <v>2020</v>
      </c>
      <c r="I222" s="5">
        <f>(Table32[[#This Row],[Revenue]]/Table32[[#This Row],[Units Sold]])</f>
        <v>1</v>
      </c>
      <c r="J222" s="5">
        <f>Table32[[#This Row],[revenue/unit]]-Table32[[#This Row],[Cost/unit]]</f>
        <v>0.5</v>
      </c>
      <c r="K222">
        <f>Table32[[#This Row],[Revenue]]-Table32[[#This Row],[Cost]]</f>
        <v>979</v>
      </c>
      <c r="L222" s="6">
        <f>Table32[[#This Row],[Net Profit]]/Table32[[#This Row],[Cost]]</f>
        <v>1</v>
      </c>
      <c r="M222">
        <v>1958</v>
      </c>
      <c r="N222" s="7">
        <f>Table32[[#This Row],[Cost]]/Table32[[#This Row],[Units Sold]]</f>
        <v>0.5</v>
      </c>
      <c r="O222">
        <v>979</v>
      </c>
      <c r="T222" s="1"/>
    </row>
    <row r="223" spans="1:20">
      <c r="A223">
        <v>5</v>
      </c>
      <c r="B223">
        <v>119754</v>
      </c>
      <c r="C223" t="s">
        <v>11</v>
      </c>
      <c r="D223" s="2">
        <v>488</v>
      </c>
      <c r="E223" s="1">
        <v>43862</v>
      </c>
      <c r="F223">
        <v>1</v>
      </c>
      <c r="G223">
        <v>2</v>
      </c>
      <c r="H223">
        <v>2020</v>
      </c>
      <c r="I223" s="5">
        <f>(Table32[[#This Row],[Revenue]]/Table32[[#This Row],[Units Sold]])</f>
        <v>1</v>
      </c>
      <c r="J223" s="5">
        <f>Table32[[#This Row],[revenue/unit]]-Table32[[#This Row],[Cost/unit]]</f>
        <v>0.5</v>
      </c>
      <c r="K223">
        <f>Table32[[#This Row],[Revenue]]-Table32[[#This Row],[Cost]]</f>
        <v>244</v>
      </c>
      <c r="L223" s="6">
        <f>Table32[[#This Row],[Net Profit]]/Table32[[#This Row],[Cost]]</f>
        <v>1</v>
      </c>
      <c r="M223">
        <v>488</v>
      </c>
      <c r="N223" s="7">
        <f>Table32[[#This Row],[Cost]]/Table32[[#This Row],[Units Sold]]</f>
        <v>0.5</v>
      </c>
      <c r="O223">
        <v>244</v>
      </c>
      <c r="T223" s="1"/>
    </row>
    <row r="224" spans="1:20">
      <c r="A224">
        <v>2</v>
      </c>
      <c r="B224">
        <v>541297</v>
      </c>
      <c r="C224" t="s">
        <v>11</v>
      </c>
      <c r="D224" s="2">
        <v>1298</v>
      </c>
      <c r="E224" s="1">
        <v>43862</v>
      </c>
      <c r="F224">
        <v>1</v>
      </c>
      <c r="G224">
        <v>2</v>
      </c>
      <c r="H224">
        <v>2020</v>
      </c>
      <c r="I224" s="5">
        <f>(Table32[[#This Row],[Revenue]]/Table32[[#This Row],[Units Sold]])</f>
        <v>1</v>
      </c>
      <c r="J224" s="5">
        <f>Table32[[#This Row],[revenue/unit]]-Table32[[#This Row],[Cost/unit]]</f>
        <v>0.5</v>
      </c>
      <c r="K224">
        <f>Table32[[#This Row],[Revenue]]-Table32[[#This Row],[Cost]]</f>
        <v>649</v>
      </c>
      <c r="L224" s="6">
        <f>Table32[[#This Row],[Net Profit]]/Table32[[#This Row],[Cost]]</f>
        <v>1</v>
      </c>
      <c r="M224">
        <v>1298</v>
      </c>
      <c r="N224" s="7">
        <f>Table32[[#This Row],[Cost]]/Table32[[#This Row],[Units Sold]]</f>
        <v>0.5</v>
      </c>
      <c r="O224">
        <v>649</v>
      </c>
      <c r="T224" s="1"/>
    </row>
    <row r="225" spans="1:20">
      <c r="A225">
        <v>4</v>
      </c>
      <c r="B225">
        <v>715966</v>
      </c>
      <c r="C225" t="s">
        <v>11</v>
      </c>
      <c r="D225" s="2">
        <v>293</v>
      </c>
      <c r="E225" s="1">
        <v>43862</v>
      </c>
      <c r="F225">
        <v>1</v>
      </c>
      <c r="G225">
        <v>2</v>
      </c>
      <c r="H225">
        <v>2020</v>
      </c>
      <c r="I225" s="5">
        <f>(Table32[[#This Row],[Revenue]]/Table32[[#This Row],[Units Sold]])</f>
        <v>1</v>
      </c>
      <c r="J225" s="5">
        <f>Table32[[#This Row],[revenue/unit]]-Table32[[#This Row],[Cost/unit]]</f>
        <v>0.5</v>
      </c>
      <c r="K225">
        <f>Table32[[#This Row],[Revenue]]-Table32[[#This Row],[Cost]]</f>
        <v>146.5</v>
      </c>
      <c r="L225" s="6">
        <f>Table32[[#This Row],[Net Profit]]/Table32[[#This Row],[Cost]]</f>
        <v>1</v>
      </c>
      <c r="M225">
        <v>293</v>
      </c>
      <c r="N225" s="7">
        <f>Table32[[#This Row],[Cost]]/Table32[[#This Row],[Units Sold]]</f>
        <v>0.5</v>
      </c>
      <c r="O225">
        <v>146.5</v>
      </c>
      <c r="T225" s="1"/>
    </row>
    <row r="226" spans="1:20">
      <c r="A226">
        <v>4</v>
      </c>
      <c r="B226">
        <v>605154</v>
      </c>
      <c r="C226" t="s">
        <v>11</v>
      </c>
      <c r="D226" s="2">
        <v>1368</v>
      </c>
      <c r="E226" s="1">
        <v>43862</v>
      </c>
      <c r="F226">
        <v>1</v>
      </c>
      <c r="G226">
        <v>2</v>
      </c>
      <c r="H226">
        <v>2020</v>
      </c>
      <c r="I226" s="5">
        <f>(Table32[[#This Row],[Revenue]]/Table32[[#This Row],[Units Sold]])</f>
        <v>1</v>
      </c>
      <c r="J226" s="5">
        <f>Table32[[#This Row],[revenue/unit]]-Table32[[#This Row],[Cost/unit]]</f>
        <v>0.5</v>
      </c>
      <c r="K226">
        <f>Table32[[#This Row],[Revenue]]-Table32[[#This Row],[Cost]]</f>
        <v>684</v>
      </c>
      <c r="L226" s="6">
        <f>Table32[[#This Row],[Net Profit]]/Table32[[#This Row],[Cost]]</f>
        <v>1</v>
      </c>
      <c r="M226">
        <v>1368</v>
      </c>
      <c r="N226" s="7">
        <f>Table32[[#This Row],[Cost]]/Table32[[#This Row],[Units Sold]]</f>
        <v>0.5</v>
      </c>
      <c r="O226">
        <v>684</v>
      </c>
      <c r="T226" s="1"/>
    </row>
    <row r="227" spans="1:20">
      <c r="A227">
        <v>3</v>
      </c>
      <c r="B227">
        <v>736328</v>
      </c>
      <c r="C227" t="s">
        <v>12</v>
      </c>
      <c r="D227" s="2">
        <v>2750</v>
      </c>
      <c r="E227" s="1">
        <v>43862</v>
      </c>
      <c r="F227">
        <v>1</v>
      </c>
      <c r="G227">
        <v>2</v>
      </c>
      <c r="H227">
        <v>2020</v>
      </c>
      <c r="I227" s="5">
        <f>(Table32[[#This Row],[Revenue]]/Table32[[#This Row],[Units Sold]])</f>
        <v>5</v>
      </c>
      <c r="J227" s="5">
        <f>Table32[[#This Row],[revenue/unit]]-Table32[[#This Row],[Cost/unit]]</f>
        <v>2.8</v>
      </c>
      <c r="K227">
        <f>Table32[[#This Row],[Revenue]]-Table32[[#This Row],[Cost]]</f>
        <v>7699.9999999999991</v>
      </c>
      <c r="L227" s="6">
        <f>Table32[[#This Row],[Net Profit]]/Table32[[#This Row],[Cost]]</f>
        <v>1.2727272727272725</v>
      </c>
      <c r="M227">
        <v>13750</v>
      </c>
      <c r="N227" s="7">
        <f>Table32[[#This Row],[Cost]]/Table32[[#This Row],[Units Sold]]</f>
        <v>2.2000000000000002</v>
      </c>
      <c r="O227">
        <v>6050.0000000000009</v>
      </c>
      <c r="T227" s="1"/>
    </row>
    <row r="228" spans="1:20">
      <c r="A228">
        <v>4</v>
      </c>
      <c r="B228">
        <v>283163</v>
      </c>
      <c r="C228" t="s">
        <v>12</v>
      </c>
      <c r="D228" s="2">
        <v>1865</v>
      </c>
      <c r="E228" s="1">
        <v>43862</v>
      </c>
      <c r="F228">
        <v>1</v>
      </c>
      <c r="G228">
        <v>2</v>
      </c>
      <c r="H228">
        <v>2020</v>
      </c>
      <c r="I228" s="5">
        <f>(Table32[[#This Row],[Revenue]]/Table32[[#This Row],[Units Sold]])</f>
        <v>5</v>
      </c>
      <c r="J228" s="5">
        <f>Table32[[#This Row],[revenue/unit]]-Table32[[#This Row],[Cost/unit]]</f>
        <v>2.8</v>
      </c>
      <c r="K228">
        <f>Table32[[#This Row],[Revenue]]-Table32[[#This Row],[Cost]]</f>
        <v>5222</v>
      </c>
      <c r="L228" s="6">
        <f>Table32[[#This Row],[Net Profit]]/Table32[[#This Row],[Cost]]</f>
        <v>1.2727272727272727</v>
      </c>
      <c r="M228">
        <v>9325</v>
      </c>
      <c r="N228" s="7">
        <f>Table32[[#This Row],[Cost]]/Table32[[#This Row],[Units Sold]]</f>
        <v>2.2000000000000002</v>
      </c>
      <c r="O228">
        <v>4103</v>
      </c>
      <c r="T228" s="1"/>
    </row>
    <row r="229" spans="1:20">
      <c r="A229">
        <v>3</v>
      </c>
      <c r="B229">
        <v>357838</v>
      </c>
      <c r="C229" t="s">
        <v>12</v>
      </c>
      <c r="D229" s="2">
        <v>1350</v>
      </c>
      <c r="E229" s="1">
        <v>43862</v>
      </c>
      <c r="F229">
        <v>1</v>
      </c>
      <c r="G229">
        <v>2</v>
      </c>
      <c r="H229">
        <v>2020</v>
      </c>
      <c r="I229" s="5">
        <f>(Table32[[#This Row],[Revenue]]/Table32[[#This Row],[Units Sold]])</f>
        <v>5</v>
      </c>
      <c r="J229" s="5">
        <f>Table32[[#This Row],[revenue/unit]]-Table32[[#This Row],[Cost/unit]]</f>
        <v>2.8</v>
      </c>
      <c r="K229">
        <f>Table32[[#This Row],[Revenue]]-Table32[[#This Row],[Cost]]</f>
        <v>3779.9999999999995</v>
      </c>
      <c r="L229" s="6">
        <f>Table32[[#This Row],[Net Profit]]/Table32[[#This Row],[Cost]]</f>
        <v>1.2727272727272725</v>
      </c>
      <c r="M229">
        <v>6750</v>
      </c>
      <c r="N229" s="7">
        <f>Table32[[#This Row],[Cost]]/Table32[[#This Row],[Units Sold]]</f>
        <v>2.2000000000000002</v>
      </c>
      <c r="O229">
        <v>2970.0000000000005</v>
      </c>
      <c r="T229" s="1"/>
    </row>
    <row r="230" spans="1:20">
      <c r="A230">
        <v>3</v>
      </c>
      <c r="B230">
        <v>761022</v>
      </c>
      <c r="C230" t="s">
        <v>12</v>
      </c>
      <c r="D230" s="2">
        <v>2240</v>
      </c>
      <c r="E230" s="1">
        <v>43862</v>
      </c>
      <c r="F230">
        <v>1</v>
      </c>
      <c r="G230">
        <v>2</v>
      </c>
      <c r="H230">
        <v>2020</v>
      </c>
      <c r="I230" s="5">
        <f>(Table32[[#This Row],[Revenue]]/Table32[[#This Row],[Units Sold]])</f>
        <v>5</v>
      </c>
      <c r="J230" s="5">
        <f>Table32[[#This Row],[revenue/unit]]-Table32[[#This Row],[Cost/unit]]</f>
        <v>2.8</v>
      </c>
      <c r="K230">
        <f>Table32[[#This Row],[Revenue]]-Table32[[#This Row],[Cost]]</f>
        <v>6272</v>
      </c>
      <c r="L230" s="6">
        <f>Table32[[#This Row],[Net Profit]]/Table32[[#This Row],[Cost]]</f>
        <v>1.2727272727272727</v>
      </c>
      <c r="M230">
        <v>11200</v>
      </c>
      <c r="N230" s="7">
        <f>Table32[[#This Row],[Cost]]/Table32[[#This Row],[Units Sold]]</f>
        <v>2.2000000000000002</v>
      </c>
      <c r="O230">
        <v>4928</v>
      </c>
      <c r="T230" s="1"/>
    </row>
    <row r="231" spans="1:20">
      <c r="A231">
        <v>4</v>
      </c>
      <c r="B231">
        <v>531656</v>
      </c>
      <c r="C231" t="s">
        <v>12</v>
      </c>
      <c r="D231" s="2">
        <v>270</v>
      </c>
      <c r="E231" s="1">
        <v>43862</v>
      </c>
      <c r="F231">
        <v>1</v>
      </c>
      <c r="G231">
        <v>2</v>
      </c>
      <c r="H231">
        <v>2020</v>
      </c>
      <c r="I231" s="5">
        <f>(Table32[[#This Row],[Revenue]]/Table32[[#This Row],[Units Sold]])</f>
        <v>5</v>
      </c>
      <c r="J231" s="5">
        <f>Table32[[#This Row],[revenue/unit]]-Table32[[#This Row],[Cost/unit]]</f>
        <v>2.8</v>
      </c>
      <c r="K231">
        <f>Table32[[#This Row],[Revenue]]-Table32[[#This Row],[Cost]]</f>
        <v>756</v>
      </c>
      <c r="L231" s="6">
        <f>Table32[[#This Row],[Net Profit]]/Table32[[#This Row],[Cost]]</f>
        <v>1.2727272727272727</v>
      </c>
      <c r="M231">
        <v>1350</v>
      </c>
      <c r="N231" s="7">
        <f>Table32[[#This Row],[Cost]]/Table32[[#This Row],[Units Sold]]</f>
        <v>2.2000000000000002</v>
      </c>
      <c r="O231">
        <v>594</v>
      </c>
      <c r="T231" s="1"/>
    </row>
    <row r="232" spans="1:20">
      <c r="A232">
        <v>3</v>
      </c>
      <c r="B232">
        <v>161388</v>
      </c>
      <c r="C232" t="s">
        <v>13</v>
      </c>
      <c r="D232" s="2">
        <v>1858</v>
      </c>
      <c r="E232" s="1">
        <v>43862</v>
      </c>
      <c r="F232">
        <v>1</v>
      </c>
      <c r="G232">
        <v>2</v>
      </c>
      <c r="H232">
        <v>2020</v>
      </c>
      <c r="I232" s="5">
        <f>(Table32[[#This Row],[Revenue]]/Table32[[#This Row],[Units Sold]])</f>
        <v>4</v>
      </c>
      <c r="J232" s="5">
        <f>Table32[[#This Row],[revenue/unit]]-Table32[[#This Row],[Cost/unit]]</f>
        <v>2.5</v>
      </c>
      <c r="K232">
        <f>Table32[[#This Row],[Revenue]]-Table32[[#This Row],[Cost]]</f>
        <v>4645</v>
      </c>
      <c r="L232" s="6">
        <f>Table32[[#This Row],[Net Profit]]/Table32[[#This Row],[Cost]]</f>
        <v>1.6666666666666667</v>
      </c>
      <c r="M232">
        <v>7432</v>
      </c>
      <c r="N232" s="7">
        <f>Table32[[#This Row],[Cost]]/Table32[[#This Row],[Units Sold]]</f>
        <v>1.5</v>
      </c>
      <c r="O232">
        <v>2787</v>
      </c>
      <c r="T232" s="1"/>
    </row>
    <row r="233" spans="1:20">
      <c r="A233">
        <v>3</v>
      </c>
      <c r="B233">
        <v>449939</v>
      </c>
      <c r="C233" t="s">
        <v>13</v>
      </c>
      <c r="D233" s="2">
        <v>1865</v>
      </c>
      <c r="E233" s="1">
        <v>43862</v>
      </c>
      <c r="F233">
        <v>1</v>
      </c>
      <c r="G233">
        <v>2</v>
      </c>
      <c r="H233">
        <v>2020</v>
      </c>
      <c r="I233" s="5">
        <f>(Table32[[#This Row],[Revenue]]/Table32[[#This Row],[Units Sold]])</f>
        <v>4</v>
      </c>
      <c r="J233" s="5">
        <f>Table32[[#This Row],[revenue/unit]]-Table32[[#This Row],[Cost/unit]]</f>
        <v>2.5</v>
      </c>
      <c r="K233">
        <f>Table32[[#This Row],[Revenue]]-Table32[[#This Row],[Cost]]</f>
        <v>4662.5</v>
      </c>
      <c r="L233" s="6">
        <f>Table32[[#This Row],[Net Profit]]/Table32[[#This Row],[Cost]]</f>
        <v>1.6666666666666667</v>
      </c>
      <c r="M233">
        <v>7460</v>
      </c>
      <c r="N233" s="7">
        <f>Table32[[#This Row],[Cost]]/Table32[[#This Row],[Units Sold]]</f>
        <v>1.5</v>
      </c>
      <c r="O233">
        <v>2797.5</v>
      </c>
      <c r="T233" s="1"/>
    </row>
    <row r="234" spans="1:20">
      <c r="A234">
        <v>3</v>
      </c>
      <c r="B234">
        <v>787606</v>
      </c>
      <c r="C234" t="s">
        <v>13</v>
      </c>
      <c r="D234" s="2">
        <v>1116</v>
      </c>
      <c r="E234" s="1">
        <v>43862</v>
      </c>
      <c r="F234">
        <v>1</v>
      </c>
      <c r="G234">
        <v>2</v>
      </c>
      <c r="H234">
        <v>2020</v>
      </c>
      <c r="I234" s="5">
        <f>(Table32[[#This Row],[Revenue]]/Table32[[#This Row],[Units Sold]])</f>
        <v>4</v>
      </c>
      <c r="J234" s="5">
        <f>Table32[[#This Row],[revenue/unit]]-Table32[[#This Row],[Cost/unit]]</f>
        <v>2.5</v>
      </c>
      <c r="K234">
        <f>Table32[[#This Row],[Revenue]]-Table32[[#This Row],[Cost]]</f>
        <v>2790</v>
      </c>
      <c r="L234" s="6">
        <f>Table32[[#This Row],[Net Profit]]/Table32[[#This Row],[Cost]]</f>
        <v>1.6666666666666667</v>
      </c>
      <c r="M234">
        <v>4464</v>
      </c>
      <c r="N234" s="7">
        <f>Table32[[#This Row],[Cost]]/Table32[[#This Row],[Units Sold]]</f>
        <v>1.5</v>
      </c>
      <c r="O234">
        <v>1674</v>
      </c>
      <c r="T234" s="1"/>
    </row>
    <row r="235" spans="1:20">
      <c r="A235">
        <v>5</v>
      </c>
      <c r="B235">
        <v>421883</v>
      </c>
      <c r="C235" t="s">
        <v>13</v>
      </c>
      <c r="D235" s="2">
        <v>727</v>
      </c>
      <c r="E235" s="1">
        <v>43862</v>
      </c>
      <c r="F235">
        <v>1</v>
      </c>
      <c r="G235">
        <v>2</v>
      </c>
      <c r="H235">
        <v>2020</v>
      </c>
      <c r="I235" s="5">
        <f>(Table32[[#This Row],[Revenue]]/Table32[[#This Row],[Units Sold]])</f>
        <v>4</v>
      </c>
      <c r="J235" s="5">
        <f>Table32[[#This Row],[revenue/unit]]-Table32[[#This Row],[Cost/unit]]</f>
        <v>2.5</v>
      </c>
      <c r="K235">
        <f>Table32[[#This Row],[Revenue]]-Table32[[#This Row],[Cost]]</f>
        <v>1817.5</v>
      </c>
      <c r="L235" s="6">
        <f>Table32[[#This Row],[Net Profit]]/Table32[[#This Row],[Cost]]</f>
        <v>1.6666666666666667</v>
      </c>
      <c r="M235">
        <v>2908</v>
      </c>
      <c r="N235" s="7">
        <f>Table32[[#This Row],[Cost]]/Table32[[#This Row],[Units Sold]]</f>
        <v>1.5</v>
      </c>
      <c r="O235">
        <v>1090.5</v>
      </c>
      <c r="T235" s="1"/>
    </row>
    <row r="236" spans="1:20">
      <c r="A236">
        <v>1</v>
      </c>
      <c r="B236">
        <v>241164</v>
      </c>
      <c r="C236" t="s">
        <v>13</v>
      </c>
      <c r="D236" s="2">
        <v>1937</v>
      </c>
      <c r="E236" s="1">
        <v>43862</v>
      </c>
      <c r="F236">
        <v>1</v>
      </c>
      <c r="G236">
        <v>2</v>
      </c>
      <c r="H236">
        <v>2020</v>
      </c>
      <c r="I236" s="5">
        <f>(Table32[[#This Row],[Revenue]]/Table32[[#This Row],[Units Sold]])</f>
        <v>4</v>
      </c>
      <c r="J236" s="5">
        <f>Table32[[#This Row],[revenue/unit]]-Table32[[#This Row],[Cost/unit]]</f>
        <v>2.5</v>
      </c>
      <c r="K236">
        <f>Table32[[#This Row],[Revenue]]-Table32[[#This Row],[Cost]]</f>
        <v>4842.5</v>
      </c>
      <c r="L236" s="6">
        <f>Table32[[#This Row],[Net Profit]]/Table32[[#This Row],[Cost]]</f>
        <v>1.6666666666666667</v>
      </c>
      <c r="M236">
        <v>7748</v>
      </c>
      <c r="N236" s="7">
        <f>Table32[[#This Row],[Cost]]/Table32[[#This Row],[Units Sold]]</f>
        <v>1.5</v>
      </c>
      <c r="O236">
        <v>2905.5</v>
      </c>
      <c r="T236" s="1"/>
    </row>
    <row r="237" spans="1:20">
      <c r="A237">
        <v>3</v>
      </c>
      <c r="B237">
        <v>793118</v>
      </c>
      <c r="C237" t="s">
        <v>14</v>
      </c>
      <c r="D237" s="2">
        <v>2001</v>
      </c>
      <c r="E237" s="1">
        <v>43862</v>
      </c>
      <c r="F237">
        <v>1</v>
      </c>
      <c r="G237">
        <v>2</v>
      </c>
      <c r="H237">
        <v>2020</v>
      </c>
      <c r="I237" s="5">
        <f>(Table32[[#This Row],[Revenue]]/Table32[[#This Row],[Units Sold]])</f>
        <v>3</v>
      </c>
      <c r="J237" s="5">
        <f>Table32[[#This Row],[revenue/unit]]-Table32[[#This Row],[Cost/unit]]</f>
        <v>1.75</v>
      </c>
      <c r="K237">
        <f>Table32[[#This Row],[Revenue]]-Table32[[#This Row],[Cost]]</f>
        <v>3501.75</v>
      </c>
      <c r="L237" s="6">
        <f>Table32[[#This Row],[Net Profit]]/Table32[[#This Row],[Cost]]</f>
        <v>1.4</v>
      </c>
      <c r="M237">
        <v>6003</v>
      </c>
      <c r="N237" s="7">
        <f>Table32[[#This Row],[Cost]]/Table32[[#This Row],[Units Sold]]</f>
        <v>1.25</v>
      </c>
      <c r="O237">
        <v>2501.25</v>
      </c>
      <c r="T237" s="1"/>
    </row>
    <row r="238" spans="1:20">
      <c r="A238">
        <v>1</v>
      </c>
      <c r="B238">
        <v>632111</v>
      </c>
      <c r="C238" t="s">
        <v>14</v>
      </c>
      <c r="D238" s="2">
        <v>2844</v>
      </c>
      <c r="E238" s="1">
        <v>43862</v>
      </c>
      <c r="F238">
        <v>1</v>
      </c>
      <c r="G238">
        <v>2</v>
      </c>
      <c r="H238">
        <v>2020</v>
      </c>
      <c r="I238" s="5">
        <f>(Table32[[#This Row],[Revenue]]/Table32[[#This Row],[Units Sold]])</f>
        <v>3</v>
      </c>
      <c r="J238" s="5">
        <f>Table32[[#This Row],[revenue/unit]]-Table32[[#This Row],[Cost/unit]]</f>
        <v>1.75</v>
      </c>
      <c r="K238">
        <f>Table32[[#This Row],[Revenue]]-Table32[[#This Row],[Cost]]</f>
        <v>4977</v>
      </c>
      <c r="L238" s="6">
        <f>Table32[[#This Row],[Net Profit]]/Table32[[#This Row],[Cost]]</f>
        <v>1.4</v>
      </c>
      <c r="M238">
        <v>8532</v>
      </c>
      <c r="N238" s="7">
        <f>Table32[[#This Row],[Cost]]/Table32[[#This Row],[Units Sold]]</f>
        <v>1.25</v>
      </c>
      <c r="O238">
        <v>3555</v>
      </c>
      <c r="T238" s="1"/>
    </row>
    <row r="239" spans="1:20">
      <c r="A239">
        <v>5</v>
      </c>
      <c r="B239">
        <v>619210</v>
      </c>
      <c r="C239" t="s">
        <v>14</v>
      </c>
      <c r="D239" s="2">
        <v>959</v>
      </c>
      <c r="E239" s="1">
        <v>43862</v>
      </c>
      <c r="F239">
        <v>1</v>
      </c>
      <c r="G239">
        <v>2</v>
      </c>
      <c r="H239">
        <v>2020</v>
      </c>
      <c r="I239" s="5">
        <f>(Table32[[#This Row],[Revenue]]/Table32[[#This Row],[Units Sold]])</f>
        <v>3</v>
      </c>
      <c r="J239" s="5">
        <f>Table32[[#This Row],[revenue/unit]]-Table32[[#This Row],[Cost/unit]]</f>
        <v>1.75</v>
      </c>
      <c r="K239">
        <f>Table32[[#This Row],[Revenue]]-Table32[[#This Row],[Cost]]</f>
        <v>1678.25</v>
      </c>
      <c r="L239" s="6">
        <f>Table32[[#This Row],[Net Profit]]/Table32[[#This Row],[Cost]]</f>
        <v>1.4</v>
      </c>
      <c r="M239">
        <v>2877</v>
      </c>
      <c r="N239" s="7">
        <f>Table32[[#This Row],[Cost]]/Table32[[#This Row],[Units Sold]]</f>
        <v>1.25</v>
      </c>
      <c r="O239">
        <v>1198.75</v>
      </c>
      <c r="T239" s="1"/>
    </row>
    <row r="240" spans="1:20">
      <c r="A240">
        <v>5</v>
      </c>
      <c r="B240">
        <v>210209</v>
      </c>
      <c r="C240" t="s">
        <v>14</v>
      </c>
      <c r="D240" s="2">
        <v>2747</v>
      </c>
      <c r="E240" s="1">
        <v>43862</v>
      </c>
      <c r="F240">
        <v>1</v>
      </c>
      <c r="G240">
        <v>2</v>
      </c>
      <c r="H240">
        <v>2020</v>
      </c>
      <c r="I240" s="5">
        <f>(Table32[[#This Row],[Revenue]]/Table32[[#This Row],[Units Sold]])</f>
        <v>3</v>
      </c>
      <c r="J240" s="5">
        <f>Table32[[#This Row],[revenue/unit]]-Table32[[#This Row],[Cost/unit]]</f>
        <v>1.75</v>
      </c>
      <c r="K240">
        <f>Table32[[#This Row],[Revenue]]-Table32[[#This Row],[Cost]]</f>
        <v>4807.25</v>
      </c>
      <c r="L240" s="6">
        <f>Table32[[#This Row],[Net Profit]]/Table32[[#This Row],[Cost]]</f>
        <v>1.4</v>
      </c>
      <c r="M240">
        <v>8241</v>
      </c>
      <c r="N240" s="7">
        <f>Table32[[#This Row],[Cost]]/Table32[[#This Row],[Units Sold]]</f>
        <v>1.25</v>
      </c>
      <c r="O240">
        <v>3433.75</v>
      </c>
      <c r="T240" s="1"/>
    </row>
    <row r="241" spans="1:20">
      <c r="A241">
        <v>5</v>
      </c>
      <c r="B241">
        <v>184366</v>
      </c>
      <c r="C241" t="s">
        <v>14</v>
      </c>
      <c r="D241" s="2">
        <v>2659</v>
      </c>
      <c r="E241" s="1">
        <v>43862</v>
      </c>
      <c r="F241">
        <v>1</v>
      </c>
      <c r="G241">
        <v>2</v>
      </c>
      <c r="H241">
        <v>2020</v>
      </c>
      <c r="I241" s="5">
        <f>(Table32[[#This Row],[Revenue]]/Table32[[#This Row],[Units Sold]])</f>
        <v>3</v>
      </c>
      <c r="J241" s="5">
        <f>Table32[[#This Row],[revenue/unit]]-Table32[[#This Row],[Cost/unit]]</f>
        <v>1.75</v>
      </c>
      <c r="K241">
        <f>Table32[[#This Row],[Revenue]]-Table32[[#This Row],[Cost]]</f>
        <v>4653.25</v>
      </c>
      <c r="L241" s="6">
        <f>Table32[[#This Row],[Net Profit]]/Table32[[#This Row],[Cost]]</f>
        <v>1.4</v>
      </c>
      <c r="M241">
        <v>7977</v>
      </c>
      <c r="N241" s="7">
        <f>Table32[[#This Row],[Cost]]/Table32[[#This Row],[Units Sold]]</f>
        <v>1.25</v>
      </c>
      <c r="O241">
        <v>3323.75</v>
      </c>
      <c r="T241" s="1"/>
    </row>
    <row r="242" spans="1:20">
      <c r="A242">
        <v>4</v>
      </c>
      <c r="B242">
        <v>775360</v>
      </c>
      <c r="C242" t="s">
        <v>15</v>
      </c>
      <c r="D242" s="2">
        <v>1804</v>
      </c>
      <c r="E242" s="1">
        <v>43862</v>
      </c>
      <c r="F242">
        <v>1</v>
      </c>
      <c r="G242">
        <v>2</v>
      </c>
      <c r="H242">
        <v>2020</v>
      </c>
      <c r="I242" s="5">
        <f>(Table32[[#This Row],[Revenue]]/Table32[[#This Row],[Units Sold]])</f>
        <v>6</v>
      </c>
      <c r="J242" s="5">
        <f>Table32[[#This Row],[revenue/unit]]-Table32[[#This Row],[Cost/unit]]</f>
        <v>3.25</v>
      </c>
      <c r="K242">
        <f>Table32[[#This Row],[Revenue]]-Table32[[#This Row],[Cost]]</f>
        <v>5863</v>
      </c>
      <c r="L242" s="6">
        <f>Table32[[#This Row],[Net Profit]]/Table32[[#This Row],[Cost]]</f>
        <v>1.1818181818181819</v>
      </c>
      <c r="M242">
        <v>10824</v>
      </c>
      <c r="N242" s="7">
        <f>Table32[[#This Row],[Cost]]/Table32[[#This Row],[Units Sold]]</f>
        <v>2.75</v>
      </c>
      <c r="O242">
        <v>4961</v>
      </c>
      <c r="T242" s="1"/>
    </row>
    <row r="243" spans="1:20">
      <c r="A243">
        <v>2</v>
      </c>
      <c r="B243">
        <v>666752</v>
      </c>
      <c r="C243" t="s">
        <v>15</v>
      </c>
      <c r="D243" s="2">
        <v>807</v>
      </c>
      <c r="E243" s="1">
        <v>43862</v>
      </c>
      <c r="F243">
        <v>1</v>
      </c>
      <c r="G243">
        <v>2</v>
      </c>
      <c r="H243">
        <v>2020</v>
      </c>
      <c r="I243" s="5">
        <f>(Table32[[#This Row],[Revenue]]/Table32[[#This Row],[Units Sold]])</f>
        <v>6</v>
      </c>
      <c r="J243" s="5">
        <f>Table32[[#This Row],[revenue/unit]]-Table32[[#This Row],[Cost/unit]]</f>
        <v>3.25</v>
      </c>
      <c r="K243">
        <f>Table32[[#This Row],[Revenue]]-Table32[[#This Row],[Cost]]</f>
        <v>2622.75</v>
      </c>
      <c r="L243" s="6">
        <f>Table32[[#This Row],[Net Profit]]/Table32[[#This Row],[Cost]]</f>
        <v>1.1818181818181819</v>
      </c>
      <c r="M243">
        <v>4842</v>
      </c>
      <c r="N243" s="7">
        <f>Table32[[#This Row],[Cost]]/Table32[[#This Row],[Units Sold]]</f>
        <v>2.75</v>
      </c>
      <c r="O243">
        <v>2219.25</v>
      </c>
      <c r="T243" s="1"/>
    </row>
    <row r="244" spans="1:20">
      <c r="A244">
        <v>4</v>
      </c>
      <c r="B244">
        <v>730844</v>
      </c>
      <c r="C244" t="s">
        <v>15</v>
      </c>
      <c r="D244" s="2">
        <v>952</v>
      </c>
      <c r="E244" s="1">
        <v>43862</v>
      </c>
      <c r="F244">
        <v>1</v>
      </c>
      <c r="G244">
        <v>2</v>
      </c>
      <c r="H244">
        <v>2020</v>
      </c>
      <c r="I244" s="5">
        <f>(Table32[[#This Row],[Revenue]]/Table32[[#This Row],[Units Sold]])</f>
        <v>6</v>
      </c>
      <c r="J244" s="5">
        <f>Table32[[#This Row],[revenue/unit]]-Table32[[#This Row],[Cost/unit]]</f>
        <v>3.25</v>
      </c>
      <c r="K244">
        <f>Table32[[#This Row],[Revenue]]-Table32[[#This Row],[Cost]]</f>
        <v>3094</v>
      </c>
      <c r="L244" s="6">
        <f>Table32[[#This Row],[Net Profit]]/Table32[[#This Row],[Cost]]</f>
        <v>1.1818181818181819</v>
      </c>
      <c r="M244">
        <v>5712</v>
      </c>
      <c r="N244" s="7">
        <f>Table32[[#This Row],[Cost]]/Table32[[#This Row],[Units Sold]]</f>
        <v>2.75</v>
      </c>
      <c r="O244">
        <v>2618</v>
      </c>
      <c r="T244" s="1"/>
    </row>
    <row r="245" spans="1:20">
      <c r="A245">
        <v>3</v>
      </c>
      <c r="B245">
        <v>218006</v>
      </c>
      <c r="C245" t="s">
        <v>15</v>
      </c>
      <c r="D245" s="2">
        <v>2755</v>
      </c>
      <c r="E245" s="1">
        <v>43862</v>
      </c>
      <c r="F245">
        <v>1</v>
      </c>
      <c r="G245">
        <v>2</v>
      </c>
      <c r="H245">
        <v>2020</v>
      </c>
      <c r="I245" s="5">
        <f>(Table32[[#This Row],[Revenue]]/Table32[[#This Row],[Units Sold]])</f>
        <v>6</v>
      </c>
      <c r="J245" s="5">
        <f>Table32[[#This Row],[revenue/unit]]-Table32[[#This Row],[Cost/unit]]</f>
        <v>3.25</v>
      </c>
      <c r="K245">
        <f>Table32[[#This Row],[Revenue]]-Table32[[#This Row],[Cost]]</f>
        <v>8953.75</v>
      </c>
      <c r="L245" s="6">
        <f>Table32[[#This Row],[Net Profit]]/Table32[[#This Row],[Cost]]</f>
        <v>1.1818181818181819</v>
      </c>
      <c r="M245">
        <v>16530</v>
      </c>
      <c r="N245" s="7">
        <f>Table32[[#This Row],[Cost]]/Table32[[#This Row],[Units Sold]]</f>
        <v>2.75</v>
      </c>
      <c r="O245">
        <v>7576.25</v>
      </c>
      <c r="T245" s="1"/>
    </row>
    <row r="246" spans="1:20">
      <c r="A246">
        <v>1</v>
      </c>
      <c r="B246">
        <v>674043</v>
      </c>
      <c r="C246" t="s">
        <v>15</v>
      </c>
      <c r="D246" s="2">
        <v>1575</v>
      </c>
      <c r="E246" s="1">
        <v>43862</v>
      </c>
      <c r="F246">
        <v>1</v>
      </c>
      <c r="G246">
        <v>2</v>
      </c>
      <c r="H246">
        <v>2020</v>
      </c>
      <c r="I246" s="5">
        <f>(Table32[[#This Row],[Revenue]]/Table32[[#This Row],[Units Sold]])</f>
        <v>6</v>
      </c>
      <c r="J246" s="5">
        <f>Table32[[#This Row],[revenue/unit]]-Table32[[#This Row],[Cost/unit]]</f>
        <v>3.25</v>
      </c>
      <c r="K246">
        <f>Table32[[#This Row],[Revenue]]-Table32[[#This Row],[Cost]]</f>
        <v>5118.75</v>
      </c>
      <c r="L246" s="6">
        <f>Table32[[#This Row],[Net Profit]]/Table32[[#This Row],[Cost]]</f>
        <v>1.1818181818181819</v>
      </c>
      <c r="M246">
        <v>9450</v>
      </c>
      <c r="N246" s="7">
        <f>Table32[[#This Row],[Cost]]/Table32[[#This Row],[Units Sold]]</f>
        <v>2.75</v>
      </c>
      <c r="O246">
        <v>4331.25</v>
      </c>
      <c r="T246" s="1"/>
    </row>
    <row r="247" spans="1:20">
      <c r="A247">
        <v>1</v>
      </c>
      <c r="B247">
        <v>779279</v>
      </c>
      <c r="C247" t="s">
        <v>10</v>
      </c>
      <c r="D247" s="2">
        <v>1774</v>
      </c>
      <c r="E247" s="1">
        <v>43891</v>
      </c>
      <c r="F247">
        <v>1</v>
      </c>
      <c r="G247">
        <v>3</v>
      </c>
      <c r="H247">
        <v>2020</v>
      </c>
      <c r="I247" s="5">
        <f>(Table32[[#This Row],[Revenue]]/Table32[[#This Row],[Units Sold]])</f>
        <v>5</v>
      </c>
      <c r="J247" s="5">
        <f>Table32[[#This Row],[revenue/unit]]-Table32[[#This Row],[Cost/unit]]</f>
        <v>3</v>
      </c>
      <c r="K247">
        <f>Table32[[#This Row],[Revenue]]-Table32[[#This Row],[Cost]]</f>
        <v>5322</v>
      </c>
      <c r="L247" s="6">
        <f>Table32[[#This Row],[Net Profit]]/Table32[[#This Row],[Cost]]</f>
        <v>1.5</v>
      </c>
      <c r="M247">
        <v>8870</v>
      </c>
      <c r="N247" s="7">
        <f>Table32[[#This Row],[Cost]]/Table32[[#This Row],[Units Sold]]</f>
        <v>2</v>
      </c>
      <c r="O247">
        <v>3548</v>
      </c>
      <c r="T247" s="1"/>
    </row>
    <row r="248" spans="1:20">
      <c r="A248">
        <v>2</v>
      </c>
      <c r="B248">
        <v>776513</v>
      </c>
      <c r="C248" t="s">
        <v>10</v>
      </c>
      <c r="D248" s="2">
        <v>795</v>
      </c>
      <c r="E248" s="1">
        <v>43891</v>
      </c>
      <c r="F248">
        <v>1</v>
      </c>
      <c r="G248">
        <v>3</v>
      </c>
      <c r="H248">
        <v>2020</v>
      </c>
      <c r="I248" s="5">
        <f>(Table32[[#This Row],[Revenue]]/Table32[[#This Row],[Units Sold]])</f>
        <v>5</v>
      </c>
      <c r="J248" s="5">
        <f>Table32[[#This Row],[revenue/unit]]-Table32[[#This Row],[Cost/unit]]</f>
        <v>3</v>
      </c>
      <c r="K248">
        <f>Table32[[#This Row],[Revenue]]-Table32[[#This Row],[Cost]]</f>
        <v>2385</v>
      </c>
      <c r="L248" s="6">
        <f>Table32[[#This Row],[Net Profit]]/Table32[[#This Row],[Cost]]</f>
        <v>1.5</v>
      </c>
      <c r="M248">
        <v>3975</v>
      </c>
      <c r="N248" s="7">
        <f>Table32[[#This Row],[Cost]]/Table32[[#This Row],[Units Sold]]</f>
        <v>2</v>
      </c>
      <c r="O248">
        <v>1590</v>
      </c>
      <c r="T248" s="1"/>
    </row>
    <row r="249" spans="1:20">
      <c r="A249">
        <v>3</v>
      </c>
      <c r="B249">
        <v>508782</v>
      </c>
      <c r="C249" t="s">
        <v>10</v>
      </c>
      <c r="D249" s="2">
        <v>2992</v>
      </c>
      <c r="E249" s="1">
        <v>43891</v>
      </c>
      <c r="F249">
        <v>1</v>
      </c>
      <c r="G249">
        <v>3</v>
      </c>
      <c r="H249">
        <v>2020</v>
      </c>
      <c r="I249" s="5">
        <f>(Table32[[#This Row],[Revenue]]/Table32[[#This Row],[Units Sold]])</f>
        <v>5</v>
      </c>
      <c r="J249" s="5">
        <f>Table32[[#This Row],[revenue/unit]]-Table32[[#This Row],[Cost/unit]]</f>
        <v>3</v>
      </c>
      <c r="K249">
        <f>Table32[[#This Row],[Revenue]]-Table32[[#This Row],[Cost]]</f>
        <v>8976</v>
      </c>
      <c r="L249" s="6">
        <f>Table32[[#This Row],[Net Profit]]/Table32[[#This Row],[Cost]]</f>
        <v>1.5</v>
      </c>
      <c r="M249">
        <v>14960</v>
      </c>
      <c r="N249" s="7">
        <f>Table32[[#This Row],[Cost]]/Table32[[#This Row],[Units Sold]]</f>
        <v>2</v>
      </c>
      <c r="O249">
        <v>5984</v>
      </c>
      <c r="T249" s="1"/>
    </row>
    <row r="250" spans="1:20">
      <c r="A250">
        <v>4</v>
      </c>
      <c r="B250">
        <v>726489</v>
      </c>
      <c r="C250" t="s">
        <v>10</v>
      </c>
      <c r="D250" s="2">
        <v>2385</v>
      </c>
      <c r="E250" s="1">
        <v>43891</v>
      </c>
      <c r="F250">
        <v>1</v>
      </c>
      <c r="G250">
        <v>3</v>
      </c>
      <c r="H250">
        <v>2020</v>
      </c>
      <c r="I250" s="5">
        <f>(Table32[[#This Row],[Revenue]]/Table32[[#This Row],[Units Sold]])</f>
        <v>5</v>
      </c>
      <c r="J250" s="5">
        <f>Table32[[#This Row],[revenue/unit]]-Table32[[#This Row],[Cost/unit]]</f>
        <v>3</v>
      </c>
      <c r="K250">
        <f>Table32[[#This Row],[Revenue]]-Table32[[#This Row],[Cost]]</f>
        <v>7155</v>
      </c>
      <c r="L250" s="6">
        <f>Table32[[#This Row],[Net Profit]]/Table32[[#This Row],[Cost]]</f>
        <v>1.5</v>
      </c>
      <c r="M250">
        <v>11925</v>
      </c>
      <c r="N250" s="7">
        <f>Table32[[#This Row],[Cost]]/Table32[[#This Row],[Units Sold]]</f>
        <v>2</v>
      </c>
      <c r="O250">
        <v>4770</v>
      </c>
      <c r="T250" s="1"/>
    </row>
    <row r="251" spans="1:20">
      <c r="A251">
        <v>4</v>
      </c>
      <c r="B251">
        <v>686090</v>
      </c>
      <c r="C251" t="s">
        <v>10</v>
      </c>
      <c r="D251" s="2">
        <v>1114</v>
      </c>
      <c r="E251" s="1">
        <v>43891</v>
      </c>
      <c r="F251">
        <v>1</v>
      </c>
      <c r="G251">
        <v>3</v>
      </c>
      <c r="H251">
        <v>2020</v>
      </c>
      <c r="I251" s="5">
        <f>(Table32[[#This Row],[Revenue]]/Table32[[#This Row],[Units Sold]])</f>
        <v>5</v>
      </c>
      <c r="J251" s="5">
        <f>Table32[[#This Row],[revenue/unit]]-Table32[[#This Row],[Cost/unit]]</f>
        <v>3</v>
      </c>
      <c r="K251">
        <f>Table32[[#This Row],[Revenue]]-Table32[[#This Row],[Cost]]</f>
        <v>3342</v>
      </c>
      <c r="L251" s="6">
        <f>Table32[[#This Row],[Net Profit]]/Table32[[#This Row],[Cost]]</f>
        <v>1.5</v>
      </c>
      <c r="M251">
        <v>5570</v>
      </c>
      <c r="N251" s="7">
        <f>Table32[[#This Row],[Cost]]/Table32[[#This Row],[Units Sold]]</f>
        <v>2</v>
      </c>
      <c r="O251">
        <v>2228</v>
      </c>
      <c r="T251" s="1"/>
    </row>
    <row r="252" spans="1:20">
      <c r="A252">
        <v>5</v>
      </c>
      <c r="B252">
        <v>123431</v>
      </c>
      <c r="C252" t="s">
        <v>10</v>
      </c>
      <c r="D252" s="2">
        <v>973</v>
      </c>
      <c r="E252" s="1">
        <v>43891</v>
      </c>
      <c r="F252">
        <v>1</v>
      </c>
      <c r="G252">
        <v>3</v>
      </c>
      <c r="H252">
        <v>2020</v>
      </c>
      <c r="I252" s="5">
        <f>(Table32[[#This Row],[Revenue]]/Table32[[#This Row],[Units Sold]])</f>
        <v>5</v>
      </c>
      <c r="J252" s="5">
        <f>Table32[[#This Row],[revenue/unit]]-Table32[[#This Row],[Cost/unit]]</f>
        <v>3</v>
      </c>
      <c r="K252">
        <f>Table32[[#This Row],[Revenue]]-Table32[[#This Row],[Cost]]</f>
        <v>2919</v>
      </c>
      <c r="L252" s="6">
        <f>Table32[[#This Row],[Net Profit]]/Table32[[#This Row],[Cost]]</f>
        <v>1.5</v>
      </c>
      <c r="M252">
        <v>4865</v>
      </c>
      <c r="N252" s="7">
        <f>Table32[[#This Row],[Cost]]/Table32[[#This Row],[Units Sold]]</f>
        <v>2</v>
      </c>
      <c r="O252">
        <v>1946</v>
      </c>
      <c r="T252" s="1"/>
    </row>
    <row r="253" spans="1:20">
      <c r="A253">
        <v>5</v>
      </c>
      <c r="B253">
        <v>761356</v>
      </c>
      <c r="C253" t="s">
        <v>10</v>
      </c>
      <c r="D253" s="2">
        <v>1954</v>
      </c>
      <c r="E253" s="1">
        <v>43891</v>
      </c>
      <c r="F253">
        <v>1</v>
      </c>
      <c r="G253">
        <v>3</v>
      </c>
      <c r="H253">
        <v>2020</v>
      </c>
      <c r="I253" s="5">
        <f>(Table32[[#This Row],[Revenue]]/Table32[[#This Row],[Units Sold]])</f>
        <v>5</v>
      </c>
      <c r="J253" s="5">
        <f>Table32[[#This Row],[revenue/unit]]-Table32[[#This Row],[Cost/unit]]</f>
        <v>3</v>
      </c>
      <c r="K253">
        <f>Table32[[#This Row],[Revenue]]-Table32[[#This Row],[Cost]]</f>
        <v>5862</v>
      </c>
      <c r="L253" s="6">
        <f>Table32[[#This Row],[Net Profit]]/Table32[[#This Row],[Cost]]</f>
        <v>1.5</v>
      </c>
      <c r="M253">
        <v>9770</v>
      </c>
      <c r="N253" s="7">
        <f>Table32[[#This Row],[Cost]]/Table32[[#This Row],[Units Sold]]</f>
        <v>2</v>
      </c>
      <c r="O253">
        <v>3908</v>
      </c>
      <c r="T253" s="1"/>
    </row>
    <row r="254" spans="1:20">
      <c r="A254">
        <v>3</v>
      </c>
      <c r="B254">
        <v>667288</v>
      </c>
      <c r="C254" t="s">
        <v>10</v>
      </c>
      <c r="D254" s="2">
        <v>1122</v>
      </c>
      <c r="E254" s="1">
        <v>43891</v>
      </c>
      <c r="F254">
        <v>1</v>
      </c>
      <c r="G254">
        <v>3</v>
      </c>
      <c r="H254">
        <v>2020</v>
      </c>
      <c r="I254" s="5">
        <f>(Table32[[#This Row],[Revenue]]/Table32[[#This Row],[Units Sold]])</f>
        <v>5</v>
      </c>
      <c r="J254" s="5">
        <f>Table32[[#This Row],[revenue/unit]]-Table32[[#This Row],[Cost/unit]]</f>
        <v>3</v>
      </c>
      <c r="K254">
        <f>Table32[[#This Row],[Revenue]]-Table32[[#This Row],[Cost]]</f>
        <v>3366</v>
      </c>
      <c r="L254" s="6">
        <f>Table32[[#This Row],[Net Profit]]/Table32[[#This Row],[Cost]]</f>
        <v>1.5</v>
      </c>
      <c r="M254">
        <v>5610</v>
      </c>
      <c r="N254" s="7">
        <f>Table32[[#This Row],[Cost]]/Table32[[#This Row],[Units Sold]]</f>
        <v>2</v>
      </c>
      <c r="O254">
        <v>2244</v>
      </c>
      <c r="T254" s="1"/>
    </row>
    <row r="255" spans="1:20">
      <c r="A255">
        <v>4</v>
      </c>
      <c r="B255">
        <v>442121</v>
      </c>
      <c r="C255" t="s">
        <v>10</v>
      </c>
      <c r="D255" s="2">
        <v>2428</v>
      </c>
      <c r="E255" s="1">
        <v>43891</v>
      </c>
      <c r="F255">
        <v>1</v>
      </c>
      <c r="G255">
        <v>3</v>
      </c>
      <c r="H255">
        <v>2020</v>
      </c>
      <c r="I255" s="5">
        <f>(Table32[[#This Row],[Revenue]]/Table32[[#This Row],[Units Sold]])</f>
        <v>5</v>
      </c>
      <c r="J255" s="5">
        <f>Table32[[#This Row],[revenue/unit]]-Table32[[#This Row],[Cost/unit]]</f>
        <v>3</v>
      </c>
      <c r="K255">
        <f>Table32[[#This Row],[Revenue]]-Table32[[#This Row],[Cost]]</f>
        <v>7284</v>
      </c>
      <c r="L255" s="6">
        <f>Table32[[#This Row],[Net Profit]]/Table32[[#This Row],[Cost]]</f>
        <v>1.5</v>
      </c>
      <c r="M255">
        <v>12140</v>
      </c>
      <c r="N255" s="7">
        <f>Table32[[#This Row],[Cost]]/Table32[[#This Row],[Units Sold]]</f>
        <v>2</v>
      </c>
      <c r="O255">
        <v>4856</v>
      </c>
      <c r="T255" s="1"/>
    </row>
    <row r="256" spans="1:20">
      <c r="A256">
        <v>4</v>
      </c>
      <c r="B256">
        <v>690780</v>
      </c>
      <c r="C256" t="s">
        <v>10</v>
      </c>
      <c r="D256" s="2">
        <v>1158</v>
      </c>
      <c r="E256" s="1">
        <v>43891</v>
      </c>
      <c r="F256">
        <v>1</v>
      </c>
      <c r="G256">
        <v>3</v>
      </c>
      <c r="H256">
        <v>2020</v>
      </c>
      <c r="I256" s="5">
        <f>(Table32[[#This Row],[Revenue]]/Table32[[#This Row],[Units Sold]])</f>
        <v>5</v>
      </c>
      <c r="J256" s="5">
        <f>Table32[[#This Row],[revenue/unit]]-Table32[[#This Row],[Cost/unit]]</f>
        <v>3</v>
      </c>
      <c r="K256">
        <f>Table32[[#This Row],[Revenue]]-Table32[[#This Row],[Cost]]</f>
        <v>3474</v>
      </c>
      <c r="L256" s="6">
        <f>Table32[[#This Row],[Net Profit]]/Table32[[#This Row],[Cost]]</f>
        <v>1.5</v>
      </c>
      <c r="M256">
        <v>5790</v>
      </c>
      <c r="N256" s="7">
        <f>Table32[[#This Row],[Cost]]/Table32[[#This Row],[Units Sold]]</f>
        <v>2</v>
      </c>
      <c r="O256">
        <v>2316</v>
      </c>
      <c r="T256" s="1"/>
    </row>
    <row r="257" spans="1:20">
      <c r="A257">
        <v>3</v>
      </c>
      <c r="B257">
        <v>203604</v>
      </c>
      <c r="C257" t="s">
        <v>11</v>
      </c>
      <c r="D257" s="2">
        <v>921</v>
      </c>
      <c r="E257" s="1">
        <v>43891</v>
      </c>
      <c r="F257">
        <v>1</v>
      </c>
      <c r="G257">
        <v>3</v>
      </c>
      <c r="H257">
        <v>2020</v>
      </c>
      <c r="I257" s="5">
        <f>(Table32[[#This Row],[Revenue]]/Table32[[#This Row],[Units Sold]])</f>
        <v>1</v>
      </c>
      <c r="J257" s="5">
        <f>Table32[[#This Row],[revenue/unit]]-Table32[[#This Row],[Cost/unit]]</f>
        <v>0.5</v>
      </c>
      <c r="K257">
        <f>Table32[[#This Row],[Revenue]]-Table32[[#This Row],[Cost]]</f>
        <v>460.5</v>
      </c>
      <c r="L257" s="6">
        <f>Table32[[#This Row],[Net Profit]]/Table32[[#This Row],[Cost]]</f>
        <v>1</v>
      </c>
      <c r="M257">
        <v>921</v>
      </c>
      <c r="N257" s="7">
        <f>Table32[[#This Row],[Cost]]/Table32[[#This Row],[Units Sold]]</f>
        <v>0.5</v>
      </c>
      <c r="O257">
        <v>460.5</v>
      </c>
      <c r="T257" s="1"/>
    </row>
    <row r="258" spans="1:20">
      <c r="A258">
        <v>2</v>
      </c>
      <c r="B258">
        <v>353832</v>
      </c>
      <c r="C258" t="s">
        <v>11</v>
      </c>
      <c r="D258" s="2">
        <v>2214</v>
      </c>
      <c r="E258" s="1">
        <v>43891</v>
      </c>
      <c r="F258">
        <v>1</v>
      </c>
      <c r="G258">
        <v>3</v>
      </c>
      <c r="H258">
        <v>2020</v>
      </c>
      <c r="I258" s="5">
        <f>(Table32[[#This Row],[Revenue]]/Table32[[#This Row],[Units Sold]])</f>
        <v>1</v>
      </c>
      <c r="J258" s="5">
        <f>Table32[[#This Row],[revenue/unit]]-Table32[[#This Row],[Cost/unit]]</f>
        <v>0.5</v>
      </c>
      <c r="K258">
        <f>Table32[[#This Row],[Revenue]]-Table32[[#This Row],[Cost]]</f>
        <v>1107</v>
      </c>
      <c r="L258" s="6">
        <f>Table32[[#This Row],[Net Profit]]/Table32[[#This Row],[Cost]]</f>
        <v>1</v>
      </c>
      <c r="M258">
        <v>2214</v>
      </c>
      <c r="N258" s="7">
        <f>Table32[[#This Row],[Cost]]/Table32[[#This Row],[Units Sold]]</f>
        <v>0.5</v>
      </c>
      <c r="O258">
        <v>1107</v>
      </c>
      <c r="T258" s="1"/>
    </row>
    <row r="259" spans="1:20">
      <c r="A259">
        <v>4</v>
      </c>
      <c r="B259">
        <v>823953</v>
      </c>
      <c r="C259" t="s">
        <v>11</v>
      </c>
      <c r="D259" s="2">
        <v>1967</v>
      </c>
      <c r="E259" s="1">
        <v>43891</v>
      </c>
      <c r="F259">
        <v>1</v>
      </c>
      <c r="G259">
        <v>3</v>
      </c>
      <c r="H259">
        <v>2020</v>
      </c>
      <c r="I259" s="5">
        <f>(Table32[[#This Row],[Revenue]]/Table32[[#This Row],[Units Sold]])</f>
        <v>1</v>
      </c>
      <c r="J259" s="5">
        <f>Table32[[#This Row],[revenue/unit]]-Table32[[#This Row],[Cost/unit]]</f>
        <v>0.5</v>
      </c>
      <c r="K259">
        <f>Table32[[#This Row],[Revenue]]-Table32[[#This Row],[Cost]]</f>
        <v>983.5</v>
      </c>
      <c r="L259" s="6">
        <f>Table32[[#This Row],[Net Profit]]/Table32[[#This Row],[Cost]]</f>
        <v>1</v>
      </c>
      <c r="M259">
        <v>1967</v>
      </c>
      <c r="N259" s="7">
        <f>Table32[[#This Row],[Cost]]/Table32[[#This Row],[Units Sold]]</f>
        <v>0.5</v>
      </c>
      <c r="O259">
        <v>983.5</v>
      </c>
      <c r="T259" s="1"/>
    </row>
    <row r="260" spans="1:20">
      <c r="A260">
        <v>2</v>
      </c>
      <c r="B260">
        <v>179673</v>
      </c>
      <c r="C260" t="s">
        <v>11</v>
      </c>
      <c r="D260" s="2">
        <v>2501</v>
      </c>
      <c r="E260" s="1">
        <v>43891</v>
      </c>
      <c r="F260">
        <v>1</v>
      </c>
      <c r="G260">
        <v>3</v>
      </c>
      <c r="H260">
        <v>2020</v>
      </c>
      <c r="I260" s="5">
        <f>(Table32[[#This Row],[Revenue]]/Table32[[#This Row],[Units Sold]])</f>
        <v>1</v>
      </c>
      <c r="J260" s="5">
        <f>Table32[[#This Row],[revenue/unit]]-Table32[[#This Row],[Cost/unit]]</f>
        <v>0.5</v>
      </c>
      <c r="K260">
        <f>Table32[[#This Row],[Revenue]]-Table32[[#This Row],[Cost]]</f>
        <v>1250.5</v>
      </c>
      <c r="L260" s="6">
        <f>Table32[[#This Row],[Net Profit]]/Table32[[#This Row],[Cost]]</f>
        <v>1</v>
      </c>
      <c r="M260">
        <v>2501</v>
      </c>
      <c r="N260" s="7">
        <f>Table32[[#This Row],[Cost]]/Table32[[#This Row],[Units Sold]]</f>
        <v>0.5</v>
      </c>
      <c r="O260">
        <v>1250.5</v>
      </c>
      <c r="T260" s="1"/>
    </row>
    <row r="261" spans="1:20">
      <c r="A261">
        <v>3</v>
      </c>
      <c r="B261">
        <v>517456</v>
      </c>
      <c r="C261" t="s">
        <v>11</v>
      </c>
      <c r="D261" s="2">
        <v>677</v>
      </c>
      <c r="E261" s="1">
        <v>43891</v>
      </c>
      <c r="F261">
        <v>1</v>
      </c>
      <c r="G261">
        <v>3</v>
      </c>
      <c r="H261">
        <v>2020</v>
      </c>
      <c r="I261" s="5">
        <f>(Table32[[#This Row],[Revenue]]/Table32[[#This Row],[Units Sold]])</f>
        <v>1</v>
      </c>
      <c r="J261" s="5">
        <f>Table32[[#This Row],[revenue/unit]]-Table32[[#This Row],[Cost/unit]]</f>
        <v>0.5</v>
      </c>
      <c r="K261">
        <f>Table32[[#This Row],[Revenue]]-Table32[[#This Row],[Cost]]</f>
        <v>338.5</v>
      </c>
      <c r="L261" s="6">
        <f>Table32[[#This Row],[Net Profit]]/Table32[[#This Row],[Cost]]</f>
        <v>1</v>
      </c>
      <c r="M261">
        <v>677</v>
      </c>
      <c r="N261" s="7">
        <f>Table32[[#This Row],[Cost]]/Table32[[#This Row],[Units Sold]]</f>
        <v>0.5</v>
      </c>
      <c r="O261">
        <v>338.5</v>
      </c>
      <c r="T261" s="1"/>
    </row>
    <row r="262" spans="1:20">
      <c r="A262">
        <v>3</v>
      </c>
      <c r="B262">
        <v>150101</v>
      </c>
      <c r="C262" t="s">
        <v>12</v>
      </c>
      <c r="D262" s="2">
        <v>259</v>
      </c>
      <c r="E262" s="1">
        <v>43891</v>
      </c>
      <c r="F262">
        <v>1</v>
      </c>
      <c r="G262">
        <v>3</v>
      </c>
      <c r="H262">
        <v>2020</v>
      </c>
      <c r="I262" s="5">
        <f>(Table32[[#This Row],[Revenue]]/Table32[[#This Row],[Units Sold]])</f>
        <v>5</v>
      </c>
      <c r="J262" s="5">
        <f>Table32[[#This Row],[revenue/unit]]-Table32[[#This Row],[Cost/unit]]</f>
        <v>2.8</v>
      </c>
      <c r="K262">
        <f>Table32[[#This Row],[Revenue]]-Table32[[#This Row],[Cost]]</f>
        <v>725.19999999999993</v>
      </c>
      <c r="L262" s="6">
        <f>Table32[[#This Row],[Net Profit]]/Table32[[#This Row],[Cost]]</f>
        <v>1.2727272727272725</v>
      </c>
      <c r="M262">
        <v>1295</v>
      </c>
      <c r="N262" s="7">
        <f>Table32[[#This Row],[Cost]]/Table32[[#This Row],[Units Sold]]</f>
        <v>2.2000000000000002</v>
      </c>
      <c r="O262">
        <v>569.80000000000007</v>
      </c>
      <c r="T262" s="1"/>
    </row>
    <row r="263" spans="1:20">
      <c r="A263">
        <v>3</v>
      </c>
      <c r="B263">
        <v>604462</v>
      </c>
      <c r="C263" t="s">
        <v>12</v>
      </c>
      <c r="D263" s="2">
        <v>1101</v>
      </c>
      <c r="E263" s="1">
        <v>43891</v>
      </c>
      <c r="F263">
        <v>1</v>
      </c>
      <c r="G263">
        <v>3</v>
      </c>
      <c r="H263">
        <v>2020</v>
      </c>
      <c r="I263" s="5">
        <f>(Table32[[#This Row],[Revenue]]/Table32[[#This Row],[Units Sold]])</f>
        <v>5</v>
      </c>
      <c r="J263" s="5">
        <f>Table32[[#This Row],[revenue/unit]]-Table32[[#This Row],[Cost/unit]]</f>
        <v>2.8</v>
      </c>
      <c r="K263">
        <f>Table32[[#This Row],[Revenue]]-Table32[[#This Row],[Cost]]</f>
        <v>3082.7999999999997</v>
      </c>
      <c r="L263" s="6">
        <f>Table32[[#This Row],[Net Profit]]/Table32[[#This Row],[Cost]]</f>
        <v>1.2727272727272725</v>
      </c>
      <c r="M263">
        <v>5505</v>
      </c>
      <c r="N263" s="7">
        <f>Table32[[#This Row],[Cost]]/Table32[[#This Row],[Units Sold]]</f>
        <v>2.2000000000000002</v>
      </c>
      <c r="O263">
        <v>2422.2000000000003</v>
      </c>
      <c r="T263" s="1"/>
    </row>
    <row r="264" spans="1:20">
      <c r="A264">
        <v>3</v>
      </c>
      <c r="B264">
        <v>215670</v>
      </c>
      <c r="C264" t="s">
        <v>12</v>
      </c>
      <c r="D264" s="2">
        <v>2993</v>
      </c>
      <c r="E264" s="1">
        <v>43891</v>
      </c>
      <c r="F264">
        <v>1</v>
      </c>
      <c r="G264">
        <v>3</v>
      </c>
      <c r="H264">
        <v>2020</v>
      </c>
      <c r="I264" s="5">
        <f>(Table32[[#This Row],[Revenue]]/Table32[[#This Row],[Units Sold]])</f>
        <v>5</v>
      </c>
      <c r="J264" s="5">
        <f>Table32[[#This Row],[revenue/unit]]-Table32[[#This Row],[Cost/unit]]</f>
        <v>2.8</v>
      </c>
      <c r="K264">
        <f>Table32[[#This Row],[Revenue]]-Table32[[#This Row],[Cost]]</f>
        <v>8380.4</v>
      </c>
      <c r="L264" s="6">
        <f>Table32[[#This Row],[Net Profit]]/Table32[[#This Row],[Cost]]</f>
        <v>1.2727272727272727</v>
      </c>
      <c r="M264">
        <v>14965</v>
      </c>
      <c r="N264" s="7">
        <f>Table32[[#This Row],[Cost]]/Table32[[#This Row],[Units Sold]]</f>
        <v>2.2000000000000002</v>
      </c>
      <c r="O264">
        <v>6584.6</v>
      </c>
      <c r="T264" s="1"/>
    </row>
    <row r="265" spans="1:20">
      <c r="A265">
        <v>3</v>
      </c>
      <c r="B265">
        <v>858624</v>
      </c>
      <c r="C265" t="s">
        <v>12</v>
      </c>
      <c r="D265" s="2">
        <v>888</v>
      </c>
      <c r="E265" s="1">
        <v>43891</v>
      </c>
      <c r="F265">
        <v>1</v>
      </c>
      <c r="G265">
        <v>3</v>
      </c>
      <c r="H265">
        <v>2020</v>
      </c>
      <c r="I265" s="5">
        <f>(Table32[[#This Row],[Revenue]]/Table32[[#This Row],[Units Sold]])</f>
        <v>5</v>
      </c>
      <c r="J265" s="5">
        <f>Table32[[#This Row],[revenue/unit]]-Table32[[#This Row],[Cost/unit]]</f>
        <v>2.8</v>
      </c>
      <c r="K265">
        <f>Table32[[#This Row],[Revenue]]-Table32[[#This Row],[Cost]]</f>
        <v>2486.3999999999996</v>
      </c>
      <c r="L265" s="6">
        <f>Table32[[#This Row],[Net Profit]]/Table32[[#This Row],[Cost]]</f>
        <v>1.2727272727272725</v>
      </c>
      <c r="M265">
        <v>4440</v>
      </c>
      <c r="N265" s="7">
        <f>Table32[[#This Row],[Cost]]/Table32[[#This Row],[Units Sold]]</f>
        <v>2.2000000000000002</v>
      </c>
      <c r="O265">
        <v>1953.6000000000001</v>
      </c>
      <c r="T265" s="1"/>
    </row>
    <row r="266" spans="1:20">
      <c r="A266">
        <v>3</v>
      </c>
      <c r="B266">
        <v>683349</v>
      </c>
      <c r="C266" t="s">
        <v>12</v>
      </c>
      <c r="D266" s="2">
        <v>2475</v>
      </c>
      <c r="E266" s="1">
        <v>43891</v>
      </c>
      <c r="F266">
        <v>1</v>
      </c>
      <c r="G266">
        <v>3</v>
      </c>
      <c r="H266">
        <v>2020</v>
      </c>
      <c r="I266" s="5">
        <f>(Table32[[#This Row],[Revenue]]/Table32[[#This Row],[Units Sold]])</f>
        <v>5</v>
      </c>
      <c r="J266" s="5">
        <f>Table32[[#This Row],[revenue/unit]]-Table32[[#This Row],[Cost/unit]]</f>
        <v>2.8</v>
      </c>
      <c r="K266">
        <f>Table32[[#This Row],[Revenue]]-Table32[[#This Row],[Cost]]</f>
        <v>6930</v>
      </c>
      <c r="L266" s="6">
        <f>Table32[[#This Row],[Net Profit]]/Table32[[#This Row],[Cost]]</f>
        <v>1.2727272727272727</v>
      </c>
      <c r="M266">
        <v>12375</v>
      </c>
      <c r="N266" s="7">
        <f>Table32[[#This Row],[Cost]]/Table32[[#This Row],[Units Sold]]</f>
        <v>2.2000000000000002</v>
      </c>
      <c r="O266">
        <v>5445</v>
      </c>
      <c r="T266" s="1"/>
    </row>
    <row r="267" spans="1:20">
      <c r="A267">
        <v>3</v>
      </c>
      <c r="B267">
        <v>103112</v>
      </c>
      <c r="C267" t="s">
        <v>13</v>
      </c>
      <c r="D267" s="2">
        <v>1210</v>
      </c>
      <c r="E267" s="1">
        <v>43891</v>
      </c>
      <c r="F267">
        <v>1</v>
      </c>
      <c r="G267">
        <v>3</v>
      </c>
      <c r="H267">
        <v>2020</v>
      </c>
      <c r="I267" s="5">
        <f>(Table32[[#This Row],[Revenue]]/Table32[[#This Row],[Units Sold]])</f>
        <v>4</v>
      </c>
      <c r="J267" s="5">
        <f>Table32[[#This Row],[revenue/unit]]-Table32[[#This Row],[Cost/unit]]</f>
        <v>2.5</v>
      </c>
      <c r="K267">
        <f>Table32[[#This Row],[Revenue]]-Table32[[#This Row],[Cost]]</f>
        <v>3025</v>
      </c>
      <c r="L267" s="6">
        <f>Table32[[#This Row],[Net Profit]]/Table32[[#This Row],[Cost]]</f>
        <v>1.6666666666666667</v>
      </c>
      <c r="M267">
        <v>4840</v>
      </c>
      <c r="N267" s="7">
        <f>Table32[[#This Row],[Cost]]/Table32[[#This Row],[Units Sold]]</f>
        <v>1.5</v>
      </c>
      <c r="O267">
        <v>1815</v>
      </c>
      <c r="T267" s="1"/>
    </row>
    <row r="268" spans="1:20">
      <c r="A268">
        <v>1</v>
      </c>
      <c r="B268">
        <v>345233</v>
      </c>
      <c r="C268" t="s">
        <v>13</v>
      </c>
      <c r="D268" s="2">
        <v>1761</v>
      </c>
      <c r="E268" s="1">
        <v>43891</v>
      </c>
      <c r="F268">
        <v>1</v>
      </c>
      <c r="G268">
        <v>3</v>
      </c>
      <c r="H268">
        <v>2020</v>
      </c>
      <c r="I268" s="5">
        <f>(Table32[[#This Row],[Revenue]]/Table32[[#This Row],[Units Sold]])</f>
        <v>4</v>
      </c>
      <c r="J268" s="5">
        <f>Table32[[#This Row],[revenue/unit]]-Table32[[#This Row],[Cost/unit]]</f>
        <v>2.5</v>
      </c>
      <c r="K268">
        <f>Table32[[#This Row],[Revenue]]-Table32[[#This Row],[Cost]]</f>
        <v>4402.5</v>
      </c>
      <c r="L268" s="6">
        <f>Table32[[#This Row],[Net Profit]]/Table32[[#This Row],[Cost]]</f>
        <v>1.6666666666666667</v>
      </c>
      <c r="M268">
        <v>7044</v>
      </c>
      <c r="N268" s="7">
        <f>Table32[[#This Row],[Cost]]/Table32[[#This Row],[Units Sold]]</f>
        <v>1.5</v>
      </c>
      <c r="O268">
        <v>2641.5</v>
      </c>
      <c r="T268" s="1"/>
    </row>
    <row r="269" spans="1:20">
      <c r="A269">
        <v>5</v>
      </c>
      <c r="B269">
        <v>242657</v>
      </c>
      <c r="C269" t="s">
        <v>13</v>
      </c>
      <c r="D269" s="2">
        <v>792</v>
      </c>
      <c r="E269" s="1">
        <v>43891</v>
      </c>
      <c r="F269">
        <v>1</v>
      </c>
      <c r="G269">
        <v>3</v>
      </c>
      <c r="H269">
        <v>2020</v>
      </c>
      <c r="I269" s="5">
        <f>(Table32[[#This Row],[Revenue]]/Table32[[#This Row],[Units Sold]])</f>
        <v>4</v>
      </c>
      <c r="J269" s="5">
        <f>Table32[[#This Row],[revenue/unit]]-Table32[[#This Row],[Cost/unit]]</f>
        <v>2.5</v>
      </c>
      <c r="K269">
        <f>Table32[[#This Row],[Revenue]]-Table32[[#This Row],[Cost]]</f>
        <v>1980</v>
      </c>
      <c r="L269" s="6">
        <f>Table32[[#This Row],[Net Profit]]/Table32[[#This Row],[Cost]]</f>
        <v>1.6666666666666667</v>
      </c>
      <c r="M269">
        <v>3168</v>
      </c>
      <c r="N269" s="7">
        <f>Table32[[#This Row],[Cost]]/Table32[[#This Row],[Units Sold]]</f>
        <v>1.5</v>
      </c>
      <c r="O269">
        <v>1188</v>
      </c>
      <c r="T269" s="1"/>
    </row>
    <row r="270" spans="1:20">
      <c r="A270">
        <v>3</v>
      </c>
      <c r="B270">
        <v>602911</v>
      </c>
      <c r="C270" t="s">
        <v>13</v>
      </c>
      <c r="D270" s="2">
        <v>923</v>
      </c>
      <c r="E270" s="1">
        <v>43891</v>
      </c>
      <c r="F270">
        <v>1</v>
      </c>
      <c r="G270">
        <v>3</v>
      </c>
      <c r="H270">
        <v>2020</v>
      </c>
      <c r="I270" s="5">
        <f>(Table32[[#This Row],[Revenue]]/Table32[[#This Row],[Units Sold]])</f>
        <v>4</v>
      </c>
      <c r="J270" s="5">
        <f>Table32[[#This Row],[revenue/unit]]-Table32[[#This Row],[Cost/unit]]</f>
        <v>2.5</v>
      </c>
      <c r="K270">
        <f>Table32[[#This Row],[Revenue]]-Table32[[#This Row],[Cost]]</f>
        <v>2307.5</v>
      </c>
      <c r="L270" s="6">
        <f>Table32[[#This Row],[Net Profit]]/Table32[[#This Row],[Cost]]</f>
        <v>1.6666666666666667</v>
      </c>
      <c r="M270">
        <v>3692</v>
      </c>
      <c r="N270" s="7">
        <f>Table32[[#This Row],[Cost]]/Table32[[#This Row],[Units Sold]]</f>
        <v>1.5</v>
      </c>
      <c r="O270">
        <v>1384.5</v>
      </c>
      <c r="T270" s="1"/>
    </row>
    <row r="271" spans="1:20">
      <c r="A271">
        <v>3</v>
      </c>
      <c r="B271">
        <v>317699</v>
      </c>
      <c r="C271" t="s">
        <v>13</v>
      </c>
      <c r="D271" s="2">
        <v>1790</v>
      </c>
      <c r="E271" s="1">
        <v>43891</v>
      </c>
      <c r="F271">
        <v>1</v>
      </c>
      <c r="G271">
        <v>3</v>
      </c>
      <c r="H271">
        <v>2020</v>
      </c>
      <c r="I271" s="5">
        <f>(Table32[[#This Row],[Revenue]]/Table32[[#This Row],[Units Sold]])</f>
        <v>4</v>
      </c>
      <c r="J271" s="5">
        <f>Table32[[#This Row],[revenue/unit]]-Table32[[#This Row],[Cost/unit]]</f>
        <v>2.5</v>
      </c>
      <c r="K271">
        <f>Table32[[#This Row],[Revenue]]-Table32[[#This Row],[Cost]]</f>
        <v>4475</v>
      </c>
      <c r="L271" s="6">
        <f>Table32[[#This Row],[Net Profit]]/Table32[[#This Row],[Cost]]</f>
        <v>1.6666666666666667</v>
      </c>
      <c r="M271">
        <v>7160</v>
      </c>
      <c r="N271" s="7">
        <f>Table32[[#This Row],[Cost]]/Table32[[#This Row],[Units Sold]]</f>
        <v>1.5</v>
      </c>
      <c r="O271">
        <v>2685</v>
      </c>
      <c r="T271" s="1"/>
    </row>
    <row r="272" spans="1:20">
      <c r="A272">
        <v>5</v>
      </c>
      <c r="B272">
        <v>514091</v>
      </c>
      <c r="C272" t="s">
        <v>14</v>
      </c>
      <c r="D272" s="2">
        <v>1326</v>
      </c>
      <c r="E272" s="1">
        <v>43891</v>
      </c>
      <c r="F272">
        <v>1</v>
      </c>
      <c r="G272">
        <v>3</v>
      </c>
      <c r="H272">
        <v>2020</v>
      </c>
      <c r="I272" s="5">
        <f>(Table32[[#This Row],[Revenue]]/Table32[[#This Row],[Units Sold]])</f>
        <v>3</v>
      </c>
      <c r="J272" s="5">
        <f>Table32[[#This Row],[revenue/unit]]-Table32[[#This Row],[Cost/unit]]</f>
        <v>1.75</v>
      </c>
      <c r="K272">
        <f>Table32[[#This Row],[Revenue]]-Table32[[#This Row],[Cost]]</f>
        <v>2320.5</v>
      </c>
      <c r="L272" s="6">
        <f>Table32[[#This Row],[Net Profit]]/Table32[[#This Row],[Cost]]</f>
        <v>1.4</v>
      </c>
      <c r="M272">
        <v>3978</v>
      </c>
      <c r="N272" s="7">
        <f>Table32[[#This Row],[Cost]]/Table32[[#This Row],[Units Sold]]</f>
        <v>1.25</v>
      </c>
      <c r="O272">
        <v>1657.5</v>
      </c>
      <c r="T272" s="1"/>
    </row>
    <row r="273" spans="1:20">
      <c r="A273">
        <v>4</v>
      </c>
      <c r="B273">
        <v>735280</v>
      </c>
      <c r="C273" t="s">
        <v>14</v>
      </c>
      <c r="D273" s="2">
        <v>263</v>
      </c>
      <c r="E273" s="1">
        <v>43891</v>
      </c>
      <c r="F273">
        <v>1</v>
      </c>
      <c r="G273">
        <v>3</v>
      </c>
      <c r="H273">
        <v>2020</v>
      </c>
      <c r="I273" s="5">
        <f>(Table32[[#This Row],[Revenue]]/Table32[[#This Row],[Units Sold]])</f>
        <v>3</v>
      </c>
      <c r="J273" s="5">
        <f>Table32[[#This Row],[revenue/unit]]-Table32[[#This Row],[Cost/unit]]</f>
        <v>1.75</v>
      </c>
      <c r="K273">
        <f>Table32[[#This Row],[Revenue]]-Table32[[#This Row],[Cost]]</f>
        <v>460.25</v>
      </c>
      <c r="L273" s="6">
        <f>Table32[[#This Row],[Net Profit]]/Table32[[#This Row],[Cost]]</f>
        <v>1.4</v>
      </c>
      <c r="M273">
        <v>789</v>
      </c>
      <c r="N273" s="7">
        <f>Table32[[#This Row],[Cost]]/Table32[[#This Row],[Units Sold]]</f>
        <v>1.25</v>
      </c>
      <c r="O273">
        <v>328.75</v>
      </c>
      <c r="T273" s="1"/>
    </row>
    <row r="274" spans="1:20">
      <c r="A274">
        <v>5</v>
      </c>
      <c r="B274">
        <v>565067</v>
      </c>
      <c r="C274" t="s">
        <v>14</v>
      </c>
      <c r="D274" s="2">
        <v>1579</v>
      </c>
      <c r="E274" s="1">
        <v>43891</v>
      </c>
      <c r="F274">
        <v>1</v>
      </c>
      <c r="G274">
        <v>3</v>
      </c>
      <c r="H274">
        <v>2020</v>
      </c>
      <c r="I274" s="5">
        <f>(Table32[[#This Row],[Revenue]]/Table32[[#This Row],[Units Sold]])</f>
        <v>3</v>
      </c>
      <c r="J274" s="5">
        <f>Table32[[#This Row],[revenue/unit]]-Table32[[#This Row],[Cost/unit]]</f>
        <v>1.75</v>
      </c>
      <c r="K274">
        <f>Table32[[#This Row],[Revenue]]-Table32[[#This Row],[Cost]]</f>
        <v>2763.25</v>
      </c>
      <c r="L274" s="6">
        <f>Table32[[#This Row],[Net Profit]]/Table32[[#This Row],[Cost]]</f>
        <v>1.4</v>
      </c>
      <c r="M274">
        <v>4737</v>
      </c>
      <c r="N274" s="7">
        <f>Table32[[#This Row],[Cost]]/Table32[[#This Row],[Units Sold]]</f>
        <v>1.25</v>
      </c>
      <c r="O274">
        <v>1973.75</v>
      </c>
      <c r="T274" s="1"/>
    </row>
    <row r="275" spans="1:20">
      <c r="A275">
        <v>3</v>
      </c>
      <c r="B275">
        <v>138905</v>
      </c>
      <c r="C275" t="s">
        <v>14</v>
      </c>
      <c r="D275" s="2">
        <v>1491</v>
      </c>
      <c r="E275" s="1">
        <v>43891</v>
      </c>
      <c r="F275">
        <v>1</v>
      </c>
      <c r="G275">
        <v>3</v>
      </c>
      <c r="H275">
        <v>2020</v>
      </c>
      <c r="I275" s="5">
        <f>(Table32[[#This Row],[Revenue]]/Table32[[#This Row],[Units Sold]])</f>
        <v>3</v>
      </c>
      <c r="J275" s="5">
        <f>Table32[[#This Row],[revenue/unit]]-Table32[[#This Row],[Cost/unit]]</f>
        <v>1.75</v>
      </c>
      <c r="K275">
        <f>Table32[[#This Row],[Revenue]]-Table32[[#This Row],[Cost]]</f>
        <v>2609.25</v>
      </c>
      <c r="L275" s="6">
        <f>Table32[[#This Row],[Net Profit]]/Table32[[#This Row],[Cost]]</f>
        <v>1.4</v>
      </c>
      <c r="M275">
        <v>4473</v>
      </c>
      <c r="N275" s="7">
        <f>Table32[[#This Row],[Cost]]/Table32[[#This Row],[Units Sold]]</f>
        <v>1.25</v>
      </c>
      <c r="O275">
        <v>1863.75</v>
      </c>
      <c r="T275" s="1"/>
    </row>
    <row r="276" spans="1:20">
      <c r="A276">
        <v>2</v>
      </c>
      <c r="B276">
        <v>800536</v>
      </c>
      <c r="C276" t="s">
        <v>14</v>
      </c>
      <c r="D276" s="2">
        <v>2903</v>
      </c>
      <c r="E276" s="1">
        <v>43891</v>
      </c>
      <c r="F276">
        <v>1</v>
      </c>
      <c r="G276">
        <v>3</v>
      </c>
      <c r="H276">
        <v>2020</v>
      </c>
      <c r="I276" s="5">
        <f>(Table32[[#This Row],[Revenue]]/Table32[[#This Row],[Units Sold]])</f>
        <v>3</v>
      </c>
      <c r="J276" s="5">
        <f>Table32[[#This Row],[revenue/unit]]-Table32[[#This Row],[Cost/unit]]</f>
        <v>1.75</v>
      </c>
      <c r="K276">
        <f>Table32[[#This Row],[Revenue]]-Table32[[#This Row],[Cost]]</f>
        <v>5080.25</v>
      </c>
      <c r="L276" s="6">
        <f>Table32[[#This Row],[Net Profit]]/Table32[[#This Row],[Cost]]</f>
        <v>1.4</v>
      </c>
      <c r="M276">
        <v>8709</v>
      </c>
      <c r="N276" s="7">
        <f>Table32[[#This Row],[Cost]]/Table32[[#This Row],[Units Sold]]</f>
        <v>1.25</v>
      </c>
      <c r="O276">
        <v>3628.75</v>
      </c>
      <c r="T276" s="1"/>
    </row>
    <row r="277" spans="1:20">
      <c r="A277">
        <v>1</v>
      </c>
      <c r="B277">
        <v>806592</v>
      </c>
      <c r="C277" t="s">
        <v>15</v>
      </c>
      <c r="D277" s="2">
        <v>2161</v>
      </c>
      <c r="E277" s="1">
        <v>43891</v>
      </c>
      <c r="F277">
        <v>1</v>
      </c>
      <c r="G277">
        <v>3</v>
      </c>
      <c r="H277">
        <v>2020</v>
      </c>
      <c r="I277" s="5">
        <f>(Table32[[#This Row],[Revenue]]/Table32[[#This Row],[Units Sold]])</f>
        <v>6</v>
      </c>
      <c r="J277" s="5">
        <f>Table32[[#This Row],[revenue/unit]]-Table32[[#This Row],[Cost/unit]]</f>
        <v>3.25</v>
      </c>
      <c r="K277">
        <f>Table32[[#This Row],[Revenue]]-Table32[[#This Row],[Cost]]</f>
        <v>7023.25</v>
      </c>
      <c r="L277" s="6">
        <f>Table32[[#This Row],[Net Profit]]/Table32[[#This Row],[Cost]]</f>
        <v>1.1818181818181819</v>
      </c>
      <c r="M277">
        <v>12966</v>
      </c>
      <c r="N277" s="7">
        <f>Table32[[#This Row],[Cost]]/Table32[[#This Row],[Units Sold]]</f>
        <v>2.75</v>
      </c>
      <c r="O277">
        <v>5942.75</v>
      </c>
      <c r="T277" s="1"/>
    </row>
    <row r="278" spans="1:20">
      <c r="A278">
        <v>3</v>
      </c>
      <c r="B278">
        <v>464499</v>
      </c>
      <c r="C278" t="s">
        <v>15</v>
      </c>
      <c r="D278" s="2">
        <v>1465</v>
      </c>
      <c r="E278" s="1">
        <v>43891</v>
      </c>
      <c r="F278">
        <v>1</v>
      </c>
      <c r="G278">
        <v>3</v>
      </c>
      <c r="H278">
        <v>2020</v>
      </c>
      <c r="I278" s="5">
        <f>(Table32[[#This Row],[Revenue]]/Table32[[#This Row],[Units Sold]])</f>
        <v>6</v>
      </c>
      <c r="J278" s="5">
        <f>Table32[[#This Row],[revenue/unit]]-Table32[[#This Row],[Cost/unit]]</f>
        <v>3.25</v>
      </c>
      <c r="K278">
        <f>Table32[[#This Row],[Revenue]]-Table32[[#This Row],[Cost]]</f>
        <v>4761.25</v>
      </c>
      <c r="L278" s="6">
        <f>Table32[[#This Row],[Net Profit]]/Table32[[#This Row],[Cost]]</f>
        <v>1.1818181818181819</v>
      </c>
      <c r="M278">
        <v>8790</v>
      </c>
      <c r="N278" s="7">
        <f>Table32[[#This Row],[Cost]]/Table32[[#This Row],[Units Sold]]</f>
        <v>2.75</v>
      </c>
      <c r="O278">
        <v>4028.75</v>
      </c>
      <c r="T278" s="1"/>
    </row>
    <row r="279" spans="1:20">
      <c r="A279">
        <v>1</v>
      </c>
      <c r="B279">
        <v>856865</v>
      </c>
      <c r="C279" t="s">
        <v>15</v>
      </c>
      <c r="D279" s="2">
        <v>598</v>
      </c>
      <c r="E279" s="1">
        <v>43891</v>
      </c>
      <c r="F279">
        <v>1</v>
      </c>
      <c r="G279">
        <v>3</v>
      </c>
      <c r="H279">
        <v>2020</v>
      </c>
      <c r="I279" s="5">
        <f>(Table32[[#This Row],[Revenue]]/Table32[[#This Row],[Units Sold]])</f>
        <v>6</v>
      </c>
      <c r="J279" s="5">
        <f>Table32[[#This Row],[revenue/unit]]-Table32[[#This Row],[Cost/unit]]</f>
        <v>3.25</v>
      </c>
      <c r="K279">
        <f>Table32[[#This Row],[Revenue]]-Table32[[#This Row],[Cost]]</f>
        <v>1943.5</v>
      </c>
      <c r="L279" s="6">
        <f>Table32[[#This Row],[Net Profit]]/Table32[[#This Row],[Cost]]</f>
        <v>1.1818181818181819</v>
      </c>
      <c r="M279">
        <v>3588</v>
      </c>
      <c r="N279" s="7">
        <f>Table32[[#This Row],[Cost]]/Table32[[#This Row],[Units Sold]]</f>
        <v>2.75</v>
      </c>
      <c r="O279">
        <v>1644.5</v>
      </c>
      <c r="T279" s="1"/>
    </row>
    <row r="280" spans="1:20">
      <c r="A280">
        <v>2</v>
      </c>
      <c r="B280">
        <v>751733</v>
      </c>
      <c r="C280" t="s">
        <v>15</v>
      </c>
      <c r="D280" s="2">
        <v>1967</v>
      </c>
      <c r="E280" s="1">
        <v>43891</v>
      </c>
      <c r="F280">
        <v>1</v>
      </c>
      <c r="G280">
        <v>3</v>
      </c>
      <c r="H280">
        <v>2020</v>
      </c>
      <c r="I280" s="5">
        <f>(Table32[[#This Row],[Revenue]]/Table32[[#This Row],[Units Sold]])</f>
        <v>6</v>
      </c>
      <c r="J280" s="5">
        <f>Table32[[#This Row],[revenue/unit]]-Table32[[#This Row],[Cost/unit]]</f>
        <v>3.25</v>
      </c>
      <c r="K280">
        <f>Table32[[#This Row],[Revenue]]-Table32[[#This Row],[Cost]]</f>
        <v>6392.75</v>
      </c>
      <c r="L280" s="6">
        <f>Table32[[#This Row],[Net Profit]]/Table32[[#This Row],[Cost]]</f>
        <v>1.1818181818181819</v>
      </c>
      <c r="M280">
        <v>11802</v>
      </c>
      <c r="N280" s="7">
        <f>Table32[[#This Row],[Cost]]/Table32[[#This Row],[Units Sold]]</f>
        <v>2.75</v>
      </c>
      <c r="O280">
        <v>5409.25</v>
      </c>
      <c r="T280" s="1"/>
    </row>
    <row r="281" spans="1:20">
      <c r="A281">
        <v>1</v>
      </c>
      <c r="B281">
        <v>600167</v>
      </c>
      <c r="C281" t="s">
        <v>15</v>
      </c>
      <c r="D281" s="2">
        <v>500</v>
      </c>
      <c r="E281" s="1">
        <v>43891</v>
      </c>
      <c r="F281">
        <v>1</v>
      </c>
      <c r="G281">
        <v>3</v>
      </c>
      <c r="H281">
        <v>2020</v>
      </c>
      <c r="I281" s="5">
        <f>(Table32[[#This Row],[Revenue]]/Table32[[#This Row],[Units Sold]])</f>
        <v>6</v>
      </c>
      <c r="J281" s="5">
        <f>Table32[[#This Row],[revenue/unit]]-Table32[[#This Row],[Cost/unit]]</f>
        <v>3.25</v>
      </c>
      <c r="K281">
        <f>Table32[[#This Row],[Revenue]]-Table32[[#This Row],[Cost]]</f>
        <v>1625</v>
      </c>
      <c r="L281" s="6">
        <f>Table32[[#This Row],[Net Profit]]/Table32[[#This Row],[Cost]]</f>
        <v>1.1818181818181819</v>
      </c>
      <c r="M281">
        <v>3000</v>
      </c>
      <c r="N281" s="7">
        <f>Table32[[#This Row],[Cost]]/Table32[[#This Row],[Units Sold]]</f>
        <v>2.75</v>
      </c>
      <c r="O281">
        <v>1375</v>
      </c>
      <c r="T281" s="1"/>
    </row>
    <row r="282" spans="1:20">
      <c r="A282">
        <v>5</v>
      </c>
      <c r="B282">
        <v>283378</v>
      </c>
      <c r="C282" t="s">
        <v>10</v>
      </c>
      <c r="D282" s="2">
        <v>4492.5</v>
      </c>
      <c r="E282" s="1">
        <v>43922</v>
      </c>
      <c r="F282">
        <v>1</v>
      </c>
      <c r="G282">
        <v>4</v>
      </c>
      <c r="H282">
        <v>2020</v>
      </c>
      <c r="I282" s="5">
        <f>(Table32[[#This Row],[Revenue]]/Table32[[#This Row],[Units Sold]])</f>
        <v>5</v>
      </c>
      <c r="J282" s="5">
        <f>Table32[[#This Row],[revenue/unit]]-Table32[[#This Row],[Cost/unit]]</f>
        <v>3</v>
      </c>
      <c r="K282">
        <f>Table32[[#This Row],[Revenue]]-Table32[[#This Row],[Cost]]</f>
        <v>13477.5</v>
      </c>
      <c r="L282" s="6">
        <f>Table32[[#This Row],[Net Profit]]/Table32[[#This Row],[Cost]]</f>
        <v>1.5</v>
      </c>
      <c r="M282">
        <v>22462.5</v>
      </c>
      <c r="N282" s="7">
        <f>Table32[[#This Row],[Cost]]/Table32[[#This Row],[Units Sold]]</f>
        <v>2</v>
      </c>
      <c r="O282">
        <v>8985</v>
      </c>
      <c r="T282" s="1"/>
    </row>
    <row r="283" spans="1:20">
      <c r="A283">
        <v>4</v>
      </c>
      <c r="B283">
        <v>595670</v>
      </c>
      <c r="C283" t="s">
        <v>10</v>
      </c>
      <c r="D283" s="2">
        <v>1414.5</v>
      </c>
      <c r="E283" s="1">
        <v>43922</v>
      </c>
      <c r="F283">
        <v>1</v>
      </c>
      <c r="G283">
        <v>4</v>
      </c>
      <c r="H283">
        <v>2020</v>
      </c>
      <c r="I283" s="5">
        <f>(Table32[[#This Row],[Revenue]]/Table32[[#This Row],[Units Sold]])</f>
        <v>5</v>
      </c>
      <c r="J283" s="5">
        <f>Table32[[#This Row],[revenue/unit]]-Table32[[#This Row],[Cost/unit]]</f>
        <v>3</v>
      </c>
      <c r="K283">
        <f>Table32[[#This Row],[Revenue]]-Table32[[#This Row],[Cost]]</f>
        <v>4243.5</v>
      </c>
      <c r="L283" s="6">
        <f>Table32[[#This Row],[Net Profit]]/Table32[[#This Row],[Cost]]</f>
        <v>1.5</v>
      </c>
      <c r="M283">
        <v>7072.5</v>
      </c>
      <c r="N283" s="7">
        <f>Table32[[#This Row],[Cost]]/Table32[[#This Row],[Units Sold]]</f>
        <v>2</v>
      </c>
      <c r="O283">
        <v>2829</v>
      </c>
      <c r="T283" s="1"/>
    </row>
    <row r="284" spans="1:20">
      <c r="A284">
        <v>1</v>
      </c>
      <c r="B284">
        <v>218291</v>
      </c>
      <c r="C284" t="s">
        <v>10</v>
      </c>
      <c r="D284" s="2">
        <v>1607</v>
      </c>
      <c r="E284" s="1">
        <v>43922</v>
      </c>
      <c r="F284">
        <v>1</v>
      </c>
      <c r="G284">
        <v>4</v>
      </c>
      <c r="H284">
        <v>2020</v>
      </c>
      <c r="I284" s="5">
        <f>(Table32[[#This Row],[Revenue]]/Table32[[#This Row],[Units Sold]])</f>
        <v>5</v>
      </c>
      <c r="J284" s="5">
        <f>Table32[[#This Row],[revenue/unit]]-Table32[[#This Row],[Cost/unit]]</f>
        <v>3</v>
      </c>
      <c r="K284">
        <f>Table32[[#This Row],[Revenue]]-Table32[[#This Row],[Cost]]</f>
        <v>4821</v>
      </c>
      <c r="L284" s="6">
        <f>Table32[[#This Row],[Net Profit]]/Table32[[#This Row],[Cost]]</f>
        <v>1.5</v>
      </c>
      <c r="M284">
        <v>8035</v>
      </c>
      <c r="N284" s="7">
        <f>Table32[[#This Row],[Cost]]/Table32[[#This Row],[Units Sold]]</f>
        <v>2</v>
      </c>
      <c r="O284">
        <v>3214</v>
      </c>
      <c r="T284" s="1"/>
    </row>
    <row r="285" spans="1:20">
      <c r="A285">
        <v>2</v>
      </c>
      <c r="B285">
        <v>603195</v>
      </c>
      <c r="C285" t="s">
        <v>10</v>
      </c>
      <c r="D285" s="2">
        <v>3801</v>
      </c>
      <c r="E285" s="1">
        <v>43922</v>
      </c>
      <c r="F285">
        <v>1</v>
      </c>
      <c r="G285">
        <v>4</v>
      </c>
      <c r="H285">
        <v>2020</v>
      </c>
      <c r="I285" s="5">
        <f>(Table32[[#This Row],[Revenue]]/Table32[[#This Row],[Units Sold]])</f>
        <v>5</v>
      </c>
      <c r="J285" s="5">
        <f>Table32[[#This Row],[revenue/unit]]-Table32[[#This Row],[Cost/unit]]</f>
        <v>3</v>
      </c>
      <c r="K285">
        <f>Table32[[#This Row],[Revenue]]-Table32[[#This Row],[Cost]]</f>
        <v>11403</v>
      </c>
      <c r="L285" s="6">
        <f>Table32[[#This Row],[Net Profit]]/Table32[[#This Row],[Cost]]</f>
        <v>1.5</v>
      </c>
      <c r="M285">
        <v>19005</v>
      </c>
      <c r="N285" s="7">
        <f>Table32[[#This Row],[Cost]]/Table32[[#This Row],[Units Sold]]</f>
        <v>2</v>
      </c>
      <c r="O285">
        <v>7602</v>
      </c>
      <c r="T285" s="1"/>
    </row>
    <row r="286" spans="1:20">
      <c r="A286">
        <v>3</v>
      </c>
      <c r="B286">
        <v>428676</v>
      </c>
      <c r="C286" t="s">
        <v>10</v>
      </c>
      <c r="D286" s="2">
        <v>1259</v>
      </c>
      <c r="E286" s="1">
        <v>43922</v>
      </c>
      <c r="F286">
        <v>1</v>
      </c>
      <c r="G286">
        <v>4</v>
      </c>
      <c r="H286">
        <v>2020</v>
      </c>
      <c r="I286" s="5">
        <f>(Table32[[#This Row],[Revenue]]/Table32[[#This Row],[Units Sold]])</f>
        <v>5</v>
      </c>
      <c r="J286" s="5">
        <f>Table32[[#This Row],[revenue/unit]]-Table32[[#This Row],[Cost/unit]]</f>
        <v>3</v>
      </c>
      <c r="K286">
        <f>Table32[[#This Row],[Revenue]]-Table32[[#This Row],[Cost]]</f>
        <v>3777</v>
      </c>
      <c r="L286" s="6">
        <f>Table32[[#This Row],[Net Profit]]/Table32[[#This Row],[Cost]]</f>
        <v>1.5</v>
      </c>
      <c r="M286">
        <v>6295</v>
      </c>
      <c r="N286" s="7">
        <f>Table32[[#This Row],[Cost]]/Table32[[#This Row],[Units Sold]]</f>
        <v>2</v>
      </c>
      <c r="O286">
        <v>2518</v>
      </c>
      <c r="T286" s="1"/>
    </row>
    <row r="287" spans="1:20">
      <c r="A287">
        <v>2</v>
      </c>
      <c r="B287">
        <v>643111</v>
      </c>
      <c r="C287" t="s">
        <v>10</v>
      </c>
      <c r="D287" s="2">
        <v>3675</v>
      </c>
      <c r="E287" s="1">
        <v>43922</v>
      </c>
      <c r="F287">
        <v>1</v>
      </c>
      <c r="G287">
        <v>4</v>
      </c>
      <c r="H287">
        <v>2020</v>
      </c>
      <c r="I287" s="5">
        <f>(Table32[[#This Row],[Revenue]]/Table32[[#This Row],[Units Sold]])</f>
        <v>5</v>
      </c>
      <c r="J287" s="5">
        <f>Table32[[#This Row],[revenue/unit]]-Table32[[#This Row],[Cost/unit]]</f>
        <v>3</v>
      </c>
      <c r="K287">
        <f>Table32[[#This Row],[Revenue]]-Table32[[#This Row],[Cost]]</f>
        <v>11025</v>
      </c>
      <c r="L287" s="6">
        <f>Table32[[#This Row],[Net Profit]]/Table32[[#This Row],[Cost]]</f>
        <v>1.5</v>
      </c>
      <c r="M287">
        <v>18375</v>
      </c>
      <c r="N287" s="7">
        <f>Table32[[#This Row],[Cost]]/Table32[[#This Row],[Units Sold]]</f>
        <v>2</v>
      </c>
      <c r="O287">
        <v>7350</v>
      </c>
      <c r="T287" s="1"/>
    </row>
    <row r="288" spans="1:20">
      <c r="A288">
        <v>3</v>
      </c>
      <c r="B288">
        <v>436809</v>
      </c>
      <c r="C288" t="s">
        <v>10</v>
      </c>
      <c r="D288" s="2">
        <v>2532</v>
      </c>
      <c r="E288" s="1">
        <v>43922</v>
      </c>
      <c r="F288">
        <v>1</v>
      </c>
      <c r="G288">
        <v>4</v>
      </c>
      <c r="H288">
        <v>2020</v>
      </c>
      <c r="I288" s="5">
        <f>(Table32[[#This Row],[Revenue]]/Table32[[#This Row],[Units Sold]])</f>
        <v>5</v>
      </c>
      <c r="J288" s="5">
        <f>Table32[[#This Row],[revenue/unit]]-Table32[[#This Row],[Cost/unit]]</f>
        <v>3</v>
      </c>
      <c r="K288">
        <f>Table32[[#This Row],[Revenue]]-Table32[[#This Row],[Cost]]</f>
        <v>7596</v>
      </c>
      <c r="L288" s="6">
        <f>Table32[[#This Row],[Net Profit]]/Table32[[#This Row],[Cost]]</f>
        <v>1.5</v>
      </c>
      <c r="M288">
        <v>12660</v>
      </c>
      <c r="N288" s="7">
        <f>Table32[[#This Row],[Cost]]/Table32[[#This Row],[Units Sold]]</f>
        <v>2</v>
      </c>
      <c r="O288">
        <v>5064</v>
      </c>
      <c r="T288" s="1"/>
    </row>
    <row r="289" spans="1:20">
      <c r="A289">
        <v>3</v>
      </c>
      <c r="B289">
        <v>216326</v>
      </c>
      <c r="C289" t="s">
        <v>10</v>
      </c>
      <c r="D289" s="2">
        <v>1614</v>
      </c>
      <c r="E289" s="1">
        <v>43922</v>
      </c>
      <c r="F289">
        <v>1</v>
      </c>
      <c r="G289">
        <v>4</v>
      </c>
      <c r="H289">
        <v>2020</v>
      </c>
      <c r="I289" s="5">
        <f>(Table32[[#This Row],[Revenue]]/Table32[[#This Row],[Units Sold]])</f>
        <v>5</v>
      </c>
      <c r="J289" s="5">
        <f>Table32[[#This Row],[revenue/unit]]-Table32[[#This Row],[Cost/unit]]</f>
        <v>3</v>
      </c>
      <c r="K289">
        <f>Table32[[#This Row],[Revenue]]-Table32[[#This Row],[Cost]]</f>
        <v>4842</v>
      </c>
      <c r="L289" s="6">
        <f>Table32[[#This Row],[Net Profit]]/Table32[[#This Row],[Cost]]</f>
        <v>1.5</v>
      </c>
      <c r="M289">
        <v>8070</v>
      </c>
      <c r="N289" s="7">
        <f>Table32[[#This Row],[Cost]]/Table32[[#This Row],[Units Sold]]</f>
        <v>2</v>
      </c>
      <c r="O289">
        <v>3228</v>
      </c>
      <c r="T289" s="1"/>
    </row>
    <row r="290" spans="1:20">
      <c r="A290">
        <v>3</v>
      </c>
      <c r="B290">
        <v>844763</v>
      </c>
      <c r="C290" t="s">
        <v>10</v>
      </c>
      <c r="D290" s="2">
        <v>2535</v>
      </c>
      <c r="E290" s="1">
        <v>43922</v>
      </c>
      <c r="F290">
        <v>1</v>
      </c>
      <c r="G290">
        <v>4</v>
      </c>
      <c r="H290">
        <v>2020</v>
      </c>
      <c r="I290" s="5">
        <f>(Table32[[#This Row],[Revenue]]/Table32[[#This Row],[Units Sold]])</f>
        <v>5</v>
      </c>
      <c r="J290" s="5">
        <f>Table32[[#This Row],[revenue/unit]]-Table32[[#This Row],[Cost/unit]]</f>
        <v>3</v>
      </c>
      <c r="K290">
        <f>Table32[[#This Row],[Revenue]]-Table32[[#This Row],[Cost]]</f>
        <v>7605</v>
      </c>
      <c r="L290" s="6">
        <f>Table32[[#This Row],[Net Profit]]/Table32[[#This Row],[Cost]]</f>
        <v>1.5</v>
      </c>
      <c r="M290">
        <v>12675</v>
      </c>
      <c r="N290" s="7">
        <f>Table32[[#This Row],[Cost]]/Table32[[#This Row],[Units Sold]]</f>
        <v>2</v>
      </c>
      <c r="O290">
        <v>5070</v>
      </c>
      <c r="T290" s="1"/>
    </row>
    <row r="291" spans="1:20">
      <c r="A291">
        <v>4</v>
      </c>
      <c r="B291">
        <v>170761</v>
      </c>
      <c r="C291" t="s">
        <v>10</v>
      </c>
      <c r="D291" s="2">
        <v>723</v>
      </c>
      <c r="E291" s="1">
        <v>43922</v>
      </c>
      <c r="F291">
        <v>1</v>
      </c>
      <c r="G291">
        <v>4</v>
      </c>
      <c r="H291">
        <v>2020</v>
      </c>
      <c r="I291" s="5">
        <f>(Table32[[#This Row],[Revenue]]/Table32[[#This Row],[Units Sold]])</f>
        <v>5</v>
      </c>
      <c r="J291" s="5">
        <f>Table32[[#This Row],[revenue/unit]]-Table32[[#This Row],[Cost/unit]]</f>
        <v>3</v>
      </c>
      <c r="K291">
        <f>Table32[[#This Row],[Revenue]]-Table32[[#This Row],[Cost]]</f>
        <v>2169</v>
      </c>
      <c r="L291" s="6">
        <f>Table32[[#This Row],[Net Profit]]/Table32[[#This Row],[Cost]]</f>
        <v>1.5</v>
      </c>
      <c r="M291">
        <v>3615</v>
      </c>
      <c r="N291" s="7">
        <f>Table32[[#This Row],[Cost]]/Table32[[#This Row],[Units Sold]]</f>
        <v>2</v>
      </c>
      <c r="O291">
        <v>1446</v>
      </c>
      <c r="T291" s="1"/>
    </row>
    <row r="292" spans="1:20">
      <c r="A292">
        <v>4</v>
      </c>
      <c r="B292">
        <v>142538</v>
      </c>
      <c r="C292" t="s">
        <v>11</v>
      </c>
      <c r="D292" s="2">
        <v>2301</v>
      </c>
      <c r="E292" s="1">
        <v>43922</v>
      </c>
      <c r="F292">
        <v>1</v>
      </c>
      <c r="G292">
        <v>4</v>
      </c>
      <c r="H292">
        <v>2020</v>
      </c>
      <c r="I292" s="5">
        <f>(Table32[[#This Row],[Revenue]]/Table32[[#This Row],[Units Sold]])</f>
        <v>1</v>
      </c>
      <c r="J292" s="5">
        <f>Table32[[#This Row],[revenue/unit]]-Table32[[#This Row],[Cost/unit]]</f>
        <v>0.5</v>
      </c>
      <c r="K292">
        <f>Table32[[#This Row],[Revenue]]-Table32[[#This Row],[Cost]]</f>
        <v>1150.5</v>
      </c>
      <c r="L292" s="6">
        <f>Table32[[#This Row],[Net Profit]]/Table32[[#This Row],[Cost]]</f>
        <v>1</v>
      </c>
      <c r="M292">
        <v>2301</v>
      </c>
      <c r="N292" s="7">
        <f>Table32[[#This Row],[Cost]]/Table32[[#This Row],[Units Sold]]</f>
        <v>0.5</v>
      </c>
      <c r="O292">
        <v>1150.5</v>
      </c>
      <c r="T292" s="1"/>
    </row>
    <row r="293" spans="1:20">
      <c r="A293">
        <v>1</v>
      </c>
      <c r="B293">
        <v>503244</v>
      </c>
      <c r="C293" t="s">
        <v>11</v>
      </c>
      <c r="D293" s="2">
        <v>980</v>
      </c>
      <c r="E293" s="1">
        <v>43922</v>
      </c>
      <c r="F293">
        <v>1</v>
      </c>
      <c r="G293">
        <v>4</v>
      </c>
      <c r="H293">
        <v>2020</v>
      </c>
      <c r="I293" s="5">
        <f>(Table32[[#This Row],[Revenue]]/Table32[[#This Row],[Units Sold]])</f>
        <v>1</v>
      </c>
      <c r="J293" s="5">
        <f>Table32[[#This Row],[revenue/unit]]-Table32[[#This Row],[Cost/unit]]</f>
        <v>0.5</v>
      </c>
      <c r="K293">
        <f>Table32[[#This Row],[Revenue]]-Table32[[#This Row],[Cost]]</f>
        <v>490</v>
      </c>
      <c r="L293" s="6">
        <f>Table32[[#This Row],[Net Profit]]/Table32[[#This Row],[Cost]]</f>
        <v>1</v>
      </c>
      <c r="M293">
        <v>980</v>
      </c>
      <c r="N293" s="7">
        <f>Table32[[#This Row],[Cost]]/Table32[[#This Row],[Units Sold]]</f>
        <v>0.5</v>
      </c>
      <c r="O293">
        <v>490</v>
      </c>
      <c r="T293" s="1"/>
    </row>
    <row r="294" spans="1:20">
      <c r="A294">
        <v>4</v>
      </c>
      <c r="B294">
        <v>156617</v>
      </c>
      <c r="C294" t="s">
        <v>11</v>
      </c>
      <c r="D294" s="2">
        <v>3802.5</v>
      </c>
      <c r="E294" s="1">
        <v>43922</v>
      </c>
      <c r="F294">
        <v>1</v>
      </c>
      <c r="G294">
        <v>4</v>
      </c>
      <c r="H294">
        <v>2020</v>
      </c>
      <c r="I294" s="5">
        <f>(Table32[[#This Row],[Revenue]]/Table32[[#This Row],[Units Sold]])</f>
        <v>1</v>
      </c>
      <c r="J294" s="5">
        <f>Table32[[#This Row],[revenue/unit]]-Table32[[#This Row],[Cost/unit]]</f>
        <v>0.5</v>
      </c>
      <c r="K294">
        <f>Table32[[#This Row],[Revenue]]-Table32[[#This Row],[Cost]]</f>
        <v>1901.25</v>
      </c>
      <c r="L294" s="6">
        <f>Table32[[#This Row],[Net Profit]]/Table32[[#This Row],[Cost]]</f>
        <v>1</v>
      </c>
      <c r="M294">
        <v>3802.5</v>
      </c>
      <c r="N294" s="7">
        <f>Table32[[#This Row],[Cost]]/Table32[[#This Row],[Units Sold]]</f>
        <v>0.5</v>
      </c>
      <c r="O294">
        <v>1901.25</v>
      </c>
      <c r="T294" s="1"/>
    </row>
    <row r="295" spans="1:20">
      <c r="A295">
        <v>2</v>
      </c>
      <c r="B295">
        <v>433556</v>
      </c>
      <c r="C295" t="s">
        <v>11</v>
      </c>
      <c r="D295" s="2">
        <v>1773</v>
      </c>
      <c r="E295" s="1">
        <v>43922</v>
      </c>
      <c r="F295">
        <v>1</v>
      </c>
      <c r="G295">
        <v>4</v>
      </c>
      <c r="H295">
        <v>2020</v>
      </c>
      <c r="I295" s="5">
        <f>(Table32[[#This Row],[Revenue]]/Table32[[#This Row],[Units Sold]])</f>
        <v>1</v>
      </c>
      <c r="J295" s="5">
        <f>Table32[[#This Row],[revenue/unit]]-Table32[[#This Row],[Cost/unit]]</f>
        <v>0.5</v>
      </c>
      <c r="K295">
        <f>Table32[[#This Row],[Revenue]]-Table32[[#This Row],[Cost]]</f>
        <v>886.5</v>
      </c>
      <c r="L295" s="6">
        <f>Table32[[#This Row],[Net Profit]]/Table32[[#This Row],[Cost]]</f>
        <v>1</v>
      </c>
      <c r="M295">
        <v>1773</v>
      </c>
      <c r="N295" s="7">
        <f>Table32[[#This Row],[Cost]]/Table32[[#This Row],[Units Sold]]</f>
        <v>0.5</v>
      </c>
      <c r="O295">
        <v>886.5</v>
      </c>
      <c r="T295" s="1"/>
    </row>
    <row r="296" spans="1:20">
      <c r="A296">
        <v>5</v>
      </c>
      <c r="B296">
        <v>721311</v>
      </c>
      <c r="C296" t="s">
        <v>11</v>
      </c>
      <c r="D296" s="2">
        <v>1199</v>
      </c>
      <c r="E296" s="1">
        <v>43922</v>
      </c>
      <c r="F296">
        <v>1</v>
      </c>
      <c r="G296">
        <v>4</v>
      </c>
      <c r="H296">
        <v>2020</v>
      </c>
      <c r="I296" s="5">
        <f>(Table32[[#This Row],[Revenue]]/Table32[[#This Row],[Units Sold]])</f>
        <v>1</v>
      </c>
      <c r="J296" s="5">
        <f>Table32[[#This Row],[revenue/unit]]-Table32[[#This Row],[Cost/unit]]</f>
        <v>0.5</v>
      </c>
      <c r="K296">
        <f>Table32[[#This Row],[Revenue]]-Table32[[#This Row],[Cost]]</f>
        <v>599.5</v>
      </c>
      <c r="L296" s="6">
        <f>Table32[[#This Row],[Net Profit]]/Table32[[#This Row],[Cost]]</f>
        <v>1</v>
      </c>
      <c r="M296">
        <v>1199</v>
      </c>
      <c r="N296" s="7">
        <f>Table32[[#This Row],[Cost]]/Table32[[#This Row],[Units Sold]]</f>
        <v>0.5</v>
      </c>
      <c r="O296">
        <v>599.5</v>
      </c>
      <c r="T296" s="1"/>
    </row>
    <row r="297" spans="1:20">
      <c r="A297">
        <v>3</v>
      </c>
      <c r="B297">
        <v>731074</v>
      </c>
      <c r="C297" t="s">
        <v>12</v>
      </c>
      <c r="D297" s="2">
        <v>1953</v>
      </c>
      <c r="E297" s="1">
        <v>43922</v>
      </c>
      <c r="F297">
        <v>1</v>
      </c>
      <c r="G297">
        <v>4</v>
      </c>
      <c r="H297">
        <v>2020</v>
      </c>
      <c r="I297" s="5">
        <f>(Table32[[#This Row],[Revenue]]/Table32[[#This Row],[Units Sold]])</f>
        <v>5</v>
      </c>
      <c r="J297" s="5">
        <f>Table32[[#This Row],[revenue/unit]]-Table32[[#This Row],[Cost/unit]]</f>
        <v>2.8</v>
      </c>
      <c r="K297">
        <f>Table32[[#This Row],[Revenue]]-Table32[[#This Row],[Cost]]</f>
        <v>5468.4</v>
      </c>
      <c r="L297" s="6">
        <f>Table32[[#This Row],[Net Profit]]/Table32[[#This Row],[Cost]]</f>
        <v>1.2727272727272725</v>
      </c>
      <c r="M297">
        <v>9765</v>
      </c>
      <c r="N297" s="7">
        <f>Table32[[#This Row],[Cost]]/Table32[[#This Row],[Units Sold]]</f>
        <v>2.2000000000000002</v>
      </c>
      <c r="O297">
        <v>4296.6000000000004</v>
      </c>
      <c r="T297" s="1"/>
    </row>
    <row r="298" spans="1:20">
      <c r="A298">
        <v>4</v>
      </c>
      <c r="B298">
        <v>739483</v>
      </c>
      <c r="C298" t="s">
        <v>12</v>
      </c>
      <c r="D298" s="2">
        <v>4219.5</v>
      </c>
      <c r="E298" s="1">
        <v>43922</v>
      </c>
      <c r="F298">
        <v>1</v>
      </c>
      <c r="G298">
        <v>4</v>
      </c>
      <c r="H298">
        <v>2020</v>
      </c>
      <c r="I298" s="5">
        <f>(Table32[[#This Row],[Revenue]]/Table32[[#This Row],[Units Sold]])</f>
        <v>5</v>
      </c>
      <c r="J298" s="5">
        <f>Table32[[#This Row],[revenue/unit]]-Table32[[#This Row],[Cost/unit]]</f>
        <v>2.8</v>
      </c>
      <c r="K298">
        <f>Table32[[#This Row],[Revenue]]-Table32[[#This Row],[Cost]]</f>
        <v>11814.599999999999</v>
      </c>
      <c r="L298" s="6">
        <f>Table32[[#This Row],[Net Profit]]/Table32[[#This Row],[Cost]]</f>
        <v>1.2727272727272723</v>
      </c>
      <c r="M298">
        <v>21097.5</v>
      </c>
      <c r="N298" s="7">
        <f>Table32[[#This Row],[Cost]]/Table32[[#This Row],[Units Sold]]</f>
        <v>2.2000000000000002</v>
      </c>
      <c r="O298">
        <v>9282.9000000000015</v>
      </c>
      <c r="T298" s="1"/>
    </row>
    <row r="299" spans="1:20">
      <c r="A299">
        <v>4</v>
      </c>
      <c r="B299">
        <v>558408</v>
      </c>
      <c r="C299" t="s">
        <v>12</v>
      </c>
      <c r="D299" s="2">
        <v>1074</v>
      </c>
      <c r="E299" s="1">
        <v>43922</v>
      </c>
      <c r="F299">
        <v>1</v>
      </c>
      <c r="G299">
        <v>4</v>
      </c>
      <c r="H299">
        <v>2020</v>
      </c>
      <c r="I299" s="5">
        <f>(Table32[[#This Row],[Revenue]]/Table32[[#This Row],[Units Sold]])</f>
        <v>5</v>
      </c>
      <c r="J299" s="5">
        <f>Table32[[#This Row],[revenue/unit]]-Table32[[#This Row],[Cost/unit]]</f>
        <v>2.8</v>
      </c>
      <c r="K299">
        <f>Table32[[#This Row],[Revenue]]-Table32[[#This Row],[Cost]]</f>
        <v>3007.2</v>
      </c>
      <c r="L299" s="6">
        <f>Table32[[#This Row],[Net Profit]]/Table32[[#This Row],[Cost]]</f>
        <v>1.2727272727272725</v>
      </c>
      <c r="M299">
        <v>5370</v>
      </c>
      <c r="N299" s="7">
        <f>Table32[[#This Row],[Cost]]/Table32[[#This Row],[Units Sold]]</f>
        <v>2.2000000000000002</v>
      </c>
      <c r="O299">
        <v>2362.8000000000002</v>
      </c>
      <c r="T299" s="1"/>
    </row>
    <row r="300" spans="1:20">
      <c r="A300">
        <v>3</v>
      </c>
      <c r="B300">
        <v>272552</v>
      </c>
      <c r="C300" t="s">
        <v>12</v>
      </c>
      <c r="D300" s="2">
        <v>3520.5</v>
      </c>
      <c r="E300" s="1">
        <v>43922</v>
      </c>
      <c r="F300">
        <v>1</v>
      </c>
      <c r="G300">
        <v>4</v>
      </c>
      <c r="H300">
        <v>2020</v>
      </c>
      <c r="I300" s="5">
        <f>(Table32[[#This Row],[Revenue]]/Table32[[#This Row],[Units Sold]])</f>
        <v>5</v>
      </c>
      <c r="J300" s="5">
        <f>Table32[[#This Row],[revenue/unit]]-Table32[[#This Row],[Cost/unit]]</f>
        <v>2.8</v>
      </c>
      <c r="K300">
        <f>Table32[[#This Row],[Revenue]]-Table32[[#This Row],[Cost]]</f>
        <v>9857.4</v>
      </c>
      <c r="L300" s="6">
        <f>Table32[[#This Row],[Net Profit]]/Table32[[#This Row],[Cost]]</f>
        <v>1.2727272727272727</v>
      </c>
      <c r="M300">
        <v>17602.5</v>
      </c>
      <c r="N300" s="7">
        <f>Table32[[#This Row],[Cost]]/Table32[[#This Row],[Units Sold]]</f>
        <v>2.2000000000000002</v>
      </c>
      <c r="O300">
        <v>7745.1</v>
      </c>
      <c r="T300" s="1"/>
    </row>
    <row r="301" spans="1:20">
      <c r="A301">
        <v>1</v>
      </c>
      <c r="B301">
        <v>178855</v>
      </c>
      <c r="C301" t="s">
        <v>13</v>
      </c>
      <c r="D301" s="2">
        <v>742.5</v>
      </c>
      <c r="E301" s="1">
        <v>43922</v>
      </c>
      <c r="F301">
        <v>1</v>
      </c>
      <c r="G301">
        <v>4</v>
      </c>
      <c r="H301">
        <v>2020</v>
      </c>
      <c r="I301" s="5">
        <f>(Table32[[#This Row],[Revenue]]/Table32[[#This Row],[Units Sold]])</f>
        <v>4</v>
      </c>
      <c r="J301" s="5">
        <f>Table32[[#This Row],[revenue/unit]]-Table32[[#This Row],[Cost/unit]]</f>
        <v>2.5</v>
      </c>
      <c r="K301">
        <f>Table32[[#This Row],[Revenue]]-Table32[[#This Row],[Cost]]</f>
        <v>1856.25</v>
      </c>
      <c r="L301" s="6">
        <f>Table32[[#This Row],[Net Profit]]/Table32[[#This Row],[Cost]]</f>
        <v>1.6666666666666667</v>
      </c>
      <c r="M301">
        <v>2970</v>
      </c>
      <c r="N301" s="7">
        <f>Table32[[#This Row],[Cost]]/Table32[[#This Row],[Units Sold]]</f>
        <v>1.5</v>
      </c>
      <c r="O301">
        <v>1113.75</v>
      </c>
      <c r="T301" s="1"/>
    </row>
    <row r="302" spans="1:20">
      <c r="A302">
        <v>4</v>
      </c>
      <c r="B302">
        <v>765655</v>
      </c>
      <c r="C302" t="s">
        <v>13</v>
      </c>
      <c r="D302" s="2">
        <v>4243.5</v>
      </c>
      <c r="E302" s="1">
        <v>43922</v>
      </c>
      <c r="F302">
        <v>1</v>
      </c>
      <c r="G302">
        <v>4</v>
      </c>
      <c r="H302">
        <v>2020</v>
      </c>
      <c r="I302" s="5">
        <f>(Table32[[#This Row],[Revenue]]/Table32[[#This Row],[Units Sold]])</f>
        <v>4</v>
      </c>
      <c r="J302" s="5">
        <f>Table32[[#This Row],[revenue/unit]]-Table32[[#This Row],[Cost/unit]]</f>
        <v>2.5</v>
      </c>
      <c r="K302">
        <f>Table32[[#This Row],[Revenue]]-Table32[[#This Row],[Cost]]</f>
        <v>10608.75</v>
      </c>
      <c r="L302" s="6">
        <f>Table32[[#This Row],[Net Profit]]/Table32[[#This Row],[Cost]]</f>
        <v>1.6666666666666667</v>
      </c>
      <c r="M302">
        <v>16974</v>
      </c>
      <c r="N302" s="7">
        <f>Table32[[#This Row],[Cost]]/Table32[[#This Row],[Units Sold]]</f>
        <v>1.5</v>
      </c>
      <c r="O302">
        <v>6365.25</v>
      </c>
      <c r="T302" s="1"/>
    </row>
    <row r="303" spans="1:20">
      <c r="A303">
        <v>1</v>
      </c>
      <c r="B303">
        <v>732442</v>
      </c>
      <c r="C303" t="s">
        <v>13</v>
      </c>
      <c r="D303" s="2">
        <v>2580</v>
      </c>
      <c r="E303" s="1">
        <v>43922</v>
      </c>
      <c r="F303">
        <v>1</v>
      </c>
      <c r="G303">
        <v>4</v>
      </c>
      <c r="H303">
        <v>2020</v>
      </c>
      <c r="I303" s="5">
        <f>(Table32[[#This Row],[Revenue]]/Table32[[#This Row],[Units Sold]])</f>
        <v>4</v>
      </c>
      <c r="J303" s="5">
        <f>Table32[[#This Row],[revenue/unit]]-Table32[[#This Row],[Cost/unit]]</f>
        <v>2.5</v>
      </c>
      <c r="K303">
        <f>Table32[[#This Row],[Revenue]]-Table32[[#This Row],[Cost]]</f>
        <v>6450</v>
      </c>
      <c r="L303" s="6">
        <f>Table32[[#This Row],[Net Profit]]/Table32[[#This Row],[Cost]]</f>
        <v>1.6666666666666667</v>
      </c>
      <c r="M303">
        <v>10320</v>
      </c>
      <c r="N303" s="7">
        <f>Table32[[#This Row],[Cost]]/Table32[[#This Row],[Units Sold]]</f>
        <v>1.5</v>
      </c>
      <c r="O303">
        <v>3870</v>
      </c>
      <c r="T303" s="1"/>
    </row>
    <row r="304" spans="1:20">
      <c r="A304">
        <v>3</v>
      </c>
      <c r="B304">
        <v>876370</v>
      </c>
      <c r="C304" t="s">
        <v>13</v>
      </c>
      <c r="D304" s="2">
        <v>3445.5</v>
      </c>
      <c r="E304" s="1">
        <v>43922</v>
      </c>
      <c r="F304">
        <v>1</v>
      </c>
      <c r="G304">
        <v>4</v>
      </c>
      <c r="H304">
        <v>2020</v>
      </c>
      <c r="I304" s="5">
        <f>(Table32[[#This Row],[Revenue]]/Table32[[#This Row],[Units Sold]])</f>
        <v>4</v>
      </c>
      <c r="J304" s="5">
        <f>Table32[[#This Row],[revenue/unit]]-Table32[[#This Row],[Cost/unit]]</f>
        <v>2.5</v>
      </c>
      <c r="K304">
        <f>Table32[[#This Row],[Revenue]]-Table32[[#This Row],[Cost]]</f>
        <v>8613.75</v>
      </c>
      <c r="L304" s="6">
        <f>Table32[[#This Row],[Net Profit]]/Table32[[#This Row],[Cost]]</f>
        <v>1.6666666666666667</v>
      </c>
      <c r="M304">
        <v>13782</v>
      </c>
      <c r="N304" s="7">
        <f>Table32[[#This Row],[Cost]]/Table32[[#This Row],[Units Sold]]</f>
        <v>1.5</v>
      </c>
      <c r="O304">
        <v>5168.25</v>
      </c>
      <c r="T304" s="1"/>
    </row>
    <row r="305" spans="1:20">
      <c r="A305">
        <v>4</v>
      </c>
      <c r="B305">
        <v>455417</v>
      </c>
      <c r="C305" t="s">
        <v>13</v>
      </c>
      <c r="D305" s="2">
        <v>2579</v>
      </c>
      <c r="E305" s="1">
        <v>43922</v>
      </c>
      <c r="F305">
        <v>1</v>
      </c>
      <c r="G305">
        <v>4</v>
      </c>
      <c r="H305">
        <v>2020</v>
      </c>
      <c r="I305" s="5">
        <f>(Table32[[#This Row],[Revenue]]/Table32[[#This Row],[Units Sold]])</f>
        <v>4</v>
      </c>
      <c r="J305" s="5">
        <f>Table32[[#This Row],[revenue/unit]]-Table32[[#This Row],[Cost/unit]]</f>
        <v>2.5</v>
      </c>
      <c r="K305">
        <f>Table32[[#This Row],[Revenue]]-Table32[[#This Row],[Cost]]</f>
        <v>6447.5</v>
      </c>
      <c r="L305" s="6">
        <f>Table32[[#This Row],[Net Profit]]/Table32[[#This Row],[Cost]]</f>
        <v>1.6666666666666667</v>
      </c>
      <c r="M305">
        <v>10316</v>
      </c>
      <c r="N305" s="7">
        <f>Table32[[#This Row],[Cost]]/Table32[[#This Row],[Units Sold]]</f>
        <v>1.5</v>
      </c>
      <c r="O305">
        <v>3868.5</v>
      </c>
      <c r="T305" s="1"/>
    </row>
    <row r="306" spans="1:20">
      <c r="A306">
        <v>3</v>
      </c>
      <c r="B306">
        <v>355287</v>
      </c>
      <c r="C306" t="s">
        <v>14</v>
      </c>
      <c r="D306" s="2">
        <v>2838</v>
      </c>
      <c r="E306" s="1">
        <v>43922</v>
      </c>
      <c r="F306">
        <v>1</v>
      </c>
      <c r="G306">
        <v>4</v>
      </c>
      <c r="H306">
        <v>2020</v>
      </c>
      <c r="I306" s="5">
        <f>(Table32[[#This Row],[Revenue]]/Table32[[#This Row],[Units Sold]])</f>
        <v>3</v>
      </c>
      <c r="J306" s="5">
        <f>Table32[[#This Row],[revenue/unit]]-Table32[[#This Row],[Cost/unit]]</f>
        <v>1.75</v>
      </c>
      <c r="K306">
        <f>Table32[[#This Row],[Revenue]]-Table32[[#This Row],[Cost]]</f>
        <v>4966.5</v>
      </c>
      <c r="L306" s="6">
        <f>Table32[[#This Row],[Net Profit]]/Table32[[#This Row],[Cost]]</f>
        <v>1.4</v>
      </c>
      <c r="M306">
        <v>8514</v>
      </c>
      <c r="N306" s="7">
        <f>Table32[[#This Row],[Cost]]/Table32[[#This Row],[Units Sold]]</f>
        <v>1.25</v>
      </c>
      <c r="O306">
        <v>3547.5</v>
      </c>
      <c r="T306" s="1"/>
    </row>
    <row r="307" spans="1:20">
      <c r="A307">
        <v>1</v>
      </c>
      <c r="B307">
        <v>540473</v>
      </c>
      <c r="C307" t="s">
        <v>14</v>
      </c>
      <c r="D307" s="2">
        <v>943.5</v>
      </c>
      <c r="E307" s="1">
        <v>43922</v>
      </c>
      <c r="F307">
        <v>1</v>
      </c>
      <c r="G307">
        <v>4</v>
      </c>
      <c r="H307">
        <v>2020</v>
      </c>
      <c r="I307" s="5">
        <f>(Table32[[#This Row],[Revenue]]/Table32[[#This Row],[Units Sold]])</f>
        <v>3</v>
      </c>
      <c r="J307" s="5">
        <f>Table32[[#This Row],[revenue/unit]]-Table32[[#This Row],[Cost/unit]]</f>
        <v>1.75</v>
      </c>
      <c r="K307">
        <f>Table32[[#This Row],[Revenue]]-Table32[[#This Row],[Cost]]</f>
        <v>1651.125</v>
      </c>
      <c r="L307" s="6">
        <f>Table32[[#This Row],[Net Profit]]/Table32[[#This Row],[Cost]]</f>
        <v>1.4</v>
      </c>
      <c r="M307">
        <v>2830.5</v>
      </c>
      <c r="N307" s="7">
        <f>Table32[[#This Row],[Cost]]/Table32[[#This Row],[Units Sold]]</f>
        <v>1.25</v>
      </c>
      <c r="O307">
        <v>1179.375</v>
      </c>
      <c r="T307" s="1"/>
    </row>
    <row r="308" spans="1:20">
      <c r="A308">
        <v>3</v>
      </c>
      <c r="B308">
        <v>703612</v>
      </c>
      <c r="C308" t="s">
        <v>14</v>
      </c>
      <c r="D308" s="2">
        <v>1916</v>
      </c>
      <c r="E308" s="1">
        <v>43922</v>
      </c>
      <c r="F308">
        <v>1</v>
      </c>
      <c r="G308">
        <v>4</v>
      </c>
      <c r="H308">
        <v>2020</v>
      </c>
      <c r="I308" s="5">
        <f>(Table32[[#This Row],[Revenue]]/Table32[[#This Row],[Units Sold]])</f>
        <v>3</v>
      </c>
      <c r="J308" s="5">
        <f>Table32[[#This Row],[revenue/unit]]-Table32[[#This Row],[Cost/unit]]</f>
        <v>1.75</v>
      </c>
      <c r="K308">
        <f>Table32[[#This Row],[Revenue]]-Table32[[#This Row],[Cost]]</f>
        <v>3353</v>
      </c>
      <c r="L308" s="6">
        <f>Table32[[#This Row],[Net Profit]]/Table32[[#This Row],[Cost]]</f>
        <v>1.4</v>
      </c>
      <c r="M308">
        <v>5748</v>
      </c>
      <c r="N308" s="7">
        <f>Table32[[#This Row],[Cost]]/Table32[[#This Row],[Units Sold]]</f>
        <v>1.25</v>
      </c>
      <c r="O308">
        <v>2395</v>
      </c>
      <c r="T308" s="1"/>
    </row>
    <row r="309" spans="1:20">
      <c r="A309">
        <v>2</v>
      </c>
      <c r="B309">
        <v>361541</v>
      </c>
      <c r="C309" t="s">
        <v>14</v>
      </c>
      <c r="D309" s="2">
        <v>1738.5</v>
      </c>
      <c r="E309" s="1">
        <v>43922</v>
      </c>
      <c r="F309">
        <v>1</v>
      </c>
      <c r="G309">
        <v>4</v>
      </c>
      <c r="H309">
        <v>2020</v>
      </c>
      <c r="I309" s="5">
        <f>(Table32[[#This Row],[Revenue]]/Table32[[#This Row],[Units Sold]])</f>
        <v>3</v>
      </c>
      <c r="J309" s="5">
        <f>Table32[[#This Row],[revenue/unit]]-Table32[[#This Row],[Cost/unit]]</f>
        <v>1.75</v>
      </c>
      <c r="K309">
        <f>Table32[[#This Row],[Revenue]]-Table32[[#This Row],[Cost]]</f>
        <v>3042.375</v>
      </c>
      <c r="L309" s="6">
        <f>Table32[[#This Row],[Net Profit]]/Table32[[#This Row],[Cost]]</f>
        <v>1.4</v>
      </c>
      <c r="M309">
        <v>5215.5</v>
      </c>
      <c r="N309" s="7">
        <f>Table32[[#This Row],[Cost]]/Table32[[#This Row],[Units Sold]]</f>
        <v>1.25</v>
      </c>
      <c r="O309">
        <v>2173.125</v>
      </c>
      <c r="T309" s="1"/>
    </row>
    <row r="310" spans="1:20">
      <c r="A310">
        <v>3</v>
      </c>
      <c r="B310">
        <v>324307</v>
      </c>
      <c r="C310" t="s">
        <v>14</v>
      </c>
      <c r="D310" s="2">
        <v>574.5</v>
      </c>
      <c r="E310" s="1">
        <v>43922</v>
      </c>
      <c r="F310">
        <v>1</v>
      </c>
      <c r="G310">
        <v>4</v>
      </c>
      <c r="H310">
        <v>2020</v>
      </c>
      <c r="I310" s="5">
        <f>(Table32[[#This Row],[Revenue]]/Table32[[#This Row],[Units Sold]])</f>
        <v>3</v>
      </c>
      <c r="J310" s="5">
        <f>Table32[[#This Row],[revenue/unit]]-Table32[[#This Row],[Cost/unit]]</f>
        <v>1.75</v>
      </c>
      <c r="K310">
        <f>Table32[[#This Row],[Revenue]]-Table32[[#This Row],[Cost]]</f>
        <v>1005.375</v>
      </c>
      <c r="L310" s="6">
        <f>Table32[[#This Row],[Net Profit]]/Table32[[#This Row],[Cost]]</f>
        <v>1.4</v>
      </c>
      <c r="M310">
        <v>1723.5</v>
      </c>
      <c r="N310" s="7">
        <f>Table32[[#This Row],[Cost]]/Table32[[#This Row],[Units Sold]]</f>
        <v>1.25</v>
      </c>
      <c r="O310">
        <v>718.125</v>
      </c>
      <c r="T310" s="1"/>
    </row>
    <row r="311" spans="1:20">
      <c r="A311">
        <v>2</v>
      </c>
      <c r="B311">
        <v>151130</v>
      </c>
      <c r="C311" t="s">
        <v>14</v>
      </c>
      <c r="D311" s="2">
        <v>1351.5</v>
      </c>
      <c r="E311" s="1">
        <v>43922</v>
      </c>
      <c r="F311">
        <v>1</v>
      </c>
      <c r="G311">
        <v>4</v>
      </c>
      <c r="H311">
        <v>2020</v>
      </c>
      <c r="I311" s="5">
        <f>(Table32[[#This Row],[Revenue]]/Table32[[#This Row],[Units Sold]])</f>
        <v>3</v>
      </c>
      <c r="J311" s="5">
        <f>Table32[[#This Row],[revenue/unit]]-Table32[[#This Row],[Cost/unit]]</f>
        <v>1.75</v>
      </c>
      <c r="K311">
        <f>Table32[[#This Row],[Revenue]]-Table32[[#This Row],[Cost]]</f>
        <v>2365.125</v>
      </c>
      <c r="L311" s="6">
        <f>Table32[[#This Row],[Net Profit]]/Table32[[#This Row],[Cost]]</f>
        <v>1.4</v>
      </c>
      <c r="M311">
        <v>4054.5</v>
      </c>
      <c r="N311" s="7">
        <f>Table32[[#This Row],[Cost]]/Table32[[#This Row],[Units Sold]]</f>
        <v>1.25</v>
      </c>
      <c r="O311">
        <v>1689.375</v>
      </c>
      <c r="T311" s="1"/>
    </row>
    <row r="312" spans="1:20">
      <c r="A312">
        <v>5</v>
      </c>
      <c r="B312">
        <v>613058</v>
      </c>
      <c r="C312" t="s">
        <v>15</v>
      </c>
      <c r="D312" s="2">
        <v>3864</v>
      </c>
      <c r="E312" s="1">
        <v>43922</v>
      </c>
      <c r="F312">
        <v>1</v>
      </c>
      <c r="G312">
        <v>4</v>
      </c>
      <c r="H312">
        <v>2020</v>
      </c>
      <c r="I312" s="5">
        <f>(Table32[[#This Row],[Revenue]]/Table32[[#This Row],[Units Sold]])</f>
        <v>6</v>
      </c>
      <c r="J312" s="5">
        <f>Table32[[#This Row],[revenue/unit]]-Table32[[#This Row],[Cost/unit]]</f>
        <v>3.25</v>
      </c>
      <c r="K312">
        <f>Table32[[#This Row],[Revenue]]-Table32[[#This Row],[Cost]]</f>
        <v>12558</v>
      </c>
      <c r="L312" s="6">
        <f>Table32[[#This Row],[Net Profit]]/Table32[[#This Row],[Cost]]</f>
        <v>1.1818181818181819</v>
      </c>
      <c r="M312">
        <v>23184</v>
      </c>
      <c r="N312" s="7">
        <f>Table32[[#This Row],[Cost]]/Table32[[#This Row],[Units Sold]]</f>
        <v>2.75</v>
      </c>
      <c r="O312">
        <v>10626</v>
      </c>
      <c r="T312" s="1"/>
    </row>
    <row r="313" spans="1:20">
      <c r="A313">
        <v>4</v>
      </c>
      <c r="B313">
        <v>766402</v>
      </c>
      <c r="C313" t="s">
        <v>15</v>
      </c>
      <c r="D313" s="2">
        <v>3850.5</v>
      </c>
      <c r="E313" s="1">
        <v>43922</v>
      </c>
      <c r="F313">
        <v>1</v>
      </c>
      <c r="G313">
        <v>4</v>
      </c>
      <c r="H313">
        <v>2020</v>
      </c>
      <c r="I313" s="5">
        <f>(Table32[[#This Row],[Revenue]]/Table32[[#This Row],[Units Sold]])</f>
        <v>6</v>
      </c>
      <c r="J313" s="5">
        <f>Table32[[#This Row],[revenue/unit]]-Table32[[#This Row],[Cost/unit]]</f>
        <v>3.25</v>
      </c>
      <c r="K313">
        <f>Table32[[#This Row],[Revenue]]-Table32[[#This Row],[Cost]]</f>
        <v>12514.125</v>
      </c>
      <c r="L313" s="6">
        <f>Table32[[#This Row],[Net Profit]]/Table32[[#This Row],[Cost]]</f>
        <v>1.1818181818181819</v>
      </c>
      <c r="M313">
        <v>23103</v>
      </c>
      <c r="N313" s="7">
        <f>Table32[[#This Row],[Cost]]/Table32[[#This Row],[Units Sold]]</f>
        <v>2.75</v>
      </c>
      <c r="O313">
        <v>10588.875</v>
      </c>
      <c r="T313" s="1"/>
    </row>
    <row r="314" spans="1:20">
      <c r="A314">
        <v>2</v>
      </c>
      <c r="B314">
        <v>507202</v>
      </c>
      <c r="C314" t="s">
        <v>15</v>
      </c>
      <c r="D314" s="2">
        <v>2628</v>
      </c>
      <c r="E314" s="1">
        <v>43922</v>
      </c>
      <c r="F314">
        <v>1</v>
      </c>
      <c r="G314">
        <v>4</v>
      </c>
      <c r="H314">
        <v>2020</v>
      </c>
      <c r="I314" s="5">
        <f>(Table32[[#This Row],[Revenue]]/Table32[[#This Row],[Units Sold]])</f>
        <v>6</v>
      </c>
      <c r="J314" s="5">
        <f>Table32[[#This Row],[revenue/unit]]-Table32[[#This Row],[Cost/unit]]</f>
        <v>3.25</v>
      </c>
      <c r="K314">
        <f>Table32[[#This Row],[Revenue]]-Table32[[#This Row],[Cost]]</f>
        <v>8541</v>
      </c>
      <c r="L314" s="6">
        <f>Table32[[#This Row],[Net Profit]]/Table32[[#This Row],[Cost]]</f>
        <v>1.1818181818181819</v>
      </c>
      <c r="M314">
        <v>15768</v>
      </c>
      <c r="N314" s="7">
        <f>Table32[[#This Row],[Cost]]/Table32[[#This Row],[Units Sold]]</f>
        <v>2.75</v>
      </c>
      <c r="O314">
        <v>7227</v>
      </c>
      <c r="T314" s="1"/>
    </row>
    <row r="315" spans="1:20">
      <c r="A315">
        <v>4</v>
      </c>
      <c r="B315">
        <v>581762</v>
      </c>
      <c r="C315" t="s">
        <v>15</v>
      </c>
      <c r="D315" s="2">
        <v>510</v>
      </c>
      <c r="E315" s="1">
        <v>43922</v>
      </c>
      <c r="F315">
        <v>1</v>
      </c>
      <c r="G315">
        <v>4</v>
      </c>
      <c r="H315">
        <v>2020</v>
      </c>
      <c r="I315" s="5">
        <f>(Table32[[#This Row],[Revenue]]/Table32[[#This Row],[Units Sold]])</f>
        <v>6</v>
      </c>
      <c r="J315" s="5">
        <f>Table32[[#This Row],[revenue/unit]]-Table32[[#This Row],[Cost/unit]]</f>
        <v>3.25</v>
      </c>
      <c r="K315">
        <f>Table32[[#This Row],[Revenue]]-Table32[[#This Row],[Cost]]</f>
        <v>1657.5</v>
      </c>
      <c r="L315" s="6">
        <f>Table32[[#This Row],[Net Profit]]/Table32[[#This Row],[Cost]]</f>
        <v>1.1818181818181819</v>
      </c>
      <c r="M315">
        <v>3060</v>
      </c>
      <c r="N315" s="7">
        <f>Table32[[#This Row],[Cost]]/Table32[[#This Row],[Units Sold]]</f>
        <v>2.75</v>
      </c>
      <c r="O315">
        <v>1402.5</v>
      </c>
      <c r="T315" s="1"/>
    </row>
    <row r="316" spans="1:20">
      <c r="A316">
        <v>1</v>
      </c>
      <c r="B316">
        <v>349645</v>
      </c>
      <c r="C316" t="s">
        <v>15</v>
      </c>
      <c r="D316" s="2">
        <v>606</v>
      </c>
      <c r="E316" s="1">
        <v>43922</v>
      </c>
      <c r="F316">
        <v>1</v>
      </c>
      <c r="G316">
        <v>4</v>
      </c>
      <c r="H316">
        <v>2020</v>
      </c>
      <c r="I316" s="5">
        <f>(Table32[[#This Row],[Revenue]]/Table32[[#This Row],[Units Sold]])</f>
        <v>6</v>
      </c>
      <c r="J316" s="5">
        <f>Table32[[#This Row],[revenue/unit]]-Table32[[#This Row],[Cost/unit]]</f>
        <v>3.25</v>
      </c>
      <c r="K316">
        <f>Table32[[#This Row],[Revenue]]-Table32[[#This Row],[Cost]]</f>
        <v>1969.5</v>
      </c>
      <c r="L316" s="6">
        <f>Table32[[#This Row],[Net Profit]]/Table32[[#This Row],[Cost]]</f>
        <v>1.1818181818181819</v>
      </c>
      <c r="M316">
        <v>3636</v>
      </c>
      <c r="N316" s="7">
        <f>Table32[[#This Row],[Cost]]/Table32[[#This Row],[Units Sold]]</f>
        <v>2.75</v>
      </c>
      <c r="O316">
        <v>1666.5</v>
      </c>
      <c r="T316" s="1"/>
    </row>
    <row r="317" spans="1:20">
      <c r="A317">
        <v>3</v>
      </c>
      <c r="B317">
        <v>600124</v>
      </c>
      <c r="C317" t="s">
        <v>10</v>
      </c>
      <c r="D317" s="2">
        <v>1030</v>
      </c>
      <c r="E317" s="1">
        <v>43952</v>
      </c>
      <c r="F317">
        <v>1</v>
      </c>
      <c r="G317">
        <v>5</v>
      </c>
      <c r="H317">
        <v>2020</v>
      </c>
      <c r="I317" s="5">
        <f>(Table32[[#This Row],[Revenue]]/Table32[[#This Row],[Units Sold]])</f>
        <v>5</v>
      </c>
      <c r="J317" s="5">
        <f>Table32[[#This Row],[revenue/unit]]-Table32[[#This Row],[Cost/unit]]</f>
        <v>3</v>
      </c>
      <c r="K317">
        <f>Table32[[#This Row],[Revenue]]-Table32[[#This Row],[Cost]]</f>
        <v>3090</v>
      </c>
      <c r="L317" s="6">
        <f>Table32[[#This Row],[Net Profit]]/Table32[[#This Row],[Cost]]</f>
        <v>1.5</v>
      </c>
      <c r="M317">
        <v>5150</v>
      </c>
      <c r="N317" s="7">
        <f>Table32[[#This Row],[Cost]]/Table32[[#This Row],[Units Sold]]</f>
        <v>2</v>
      </c>
      <c r="O317">
        <v>2060</v>
      </c>
      <c r="T317" s="1"/>
    </row>
    <row r="318" spans="1:20">
      <c r="A318">
        <v>5</v>
      </c>
      <c r="B318">
        <v>770750</v>
      </c>
      <c r="C318" t="s">
        <v>10</v>
      </c>
      <c r="D318" s="2">
        <v>918</v>
      </c>
      <c r="E318" s="1">
        <v>43952</v>
      </c>
      <c r="F318">
        <v>1</v>
      </c>
      <c r="G318">
        <v>5</v>
      </c>
      <c r="H318">
        <v>2020</v>
      </c>
      <c r="I318" s="5">
        <f>(Table32[[#This Row],[Revenue]]/Table32[[#This Row],[Units Sold]])</f>
        <v>5</v>
      </c>
      <c r="J318" s="5">
        <f>Table32[[#This Row],[revenue/unit]]-Table32[[#This Row],[Cost/unit]]</f>
        <v>3</v>
      </c>
      <c r="K318">
        <f>Table32[[#This Row],[Revenue]]-Table32[[#This Row],[Cost]]</f>
        <v>2754</v>
      </c>
      <c r="L318" s="6">
        <f>Table32[[#This Row],[Net Profit]]/Table32[[#This Row],[Cost]]</f>
        <v>1.5</v>
      </c>
      <c r="M318">
        <v>4590</v>
      </c>
      <c r="N318" s="7">
        <f>Table32[[#This Row],[Cost]]/Table32[[#This Row],[Units Sold]]</f>
        <v>2</v>
      </c>
      <c r="O318">
        <v>1836</v>
      </c>
      <c r="T318" s="1"/>
    </row>
    <row r="319" spans="1:20">
      <c r="A319">
        <v>3</v>
      </c>
      <c r="B319">
        <v>365463</v>
      </c>
      <c r="C319" t="s">
        <v>10</v>
      </c>
      <c r="D319" s="2">
        <v>1728</v>
      </c>
      <c r="E319" s="1">
        <v>43952</v>
      </c>
      <c r="F319">
        <v>1</v>
      </c>
      <c r="G319">
        <v>5</v>
      </c>
      <c r="H319">
        <v>2020</v>
      </c>
      <c r="I319" s="5">
        <f>(Table32[[#This Row],[Revenue]]/Table32[[#This Row],[Units Sold]])</f>
        <v>5</v>
      </c>
      <c r="J319" s="5">
        <f>Table32[[#This Row],[revenue/unit]]-Table32[[#This Row],[Cost/unit]]</f>
        <v>3</v>
      </c>
      <c r="K319">
        <f>Table32[[#This Row],[Revenue]]-Table32[[#This Row],[Cost]]</f>
        <v>5184</v>
      </c>
      <c r="L319" s="6">
        <f>Table32[[#This Row],[Net Profit]]/Table32[[#This Row],[Cost]]</f>
        <v>1.5</v>
      </c>
      <c r="M319">
        <v>8640</v>
      </c>
      <c r="N319" s="7">
        <f>Table32[[#This Row],[Cost]]/Table32[[#This Row],[Units Sold]]</f>
        <v>2</v>
      </c>
      <c r="O319">
        <v>3456</v>
      </c>
      <c r="T319" s="1"/>
    </row>
    <row r="320" spans="1:20">
      <c r="A320">
        <v>3</v>
      </c>
      <c r="B320">
        <v>549329</v>
      </c>
      <c r="C320" t="s">
        <v>10</v>
      </c>
      <c r="D320" s="2">
        <v>2918</v>
      </c>
      <c r="E320" s="1">
        <v>43952</v>
      </c>
      <c r="F320">
        <v>1</v>
      </c>
      <c r="G320">
        <v>5</v>
      </c>
      <c r="H320">
        <v>2020</v>
      </c>
      <c r="I320" s="5">
        <f>(Table32[[#This Row],[Revenue]]/Table32[[#This Row],[Units Sold]])</f>
        <v>5</v>
      </c>
      <c r="J320" s="5">
        <f>Table32[[#This Row],[revenue/unit]]-Table32[[#This Row],[Cost/unit]]</f>
        <v>3</v>
      </c>
      <c r="K320">
        <f>Table32[[#This Row],[Revenue]]-Table32[[#This Row],[Cost]]</f>
        <v>8754</v>
      </c>
      <c r="L320" s="6">
        <f>Table32[[#This Row],[Net Profit]]/Table32[[#This Row],[Cost]]</f>
        <v>1.5</v>
      </c>
      <c r="M320">
        <v>14590</v>
      </c>
      <c r="N320" s="7">
        <f>Table32[[#This Row],[Cost]]/Table32[[#This Row],[Units Sold]]</f>
        <v>2</v>
      </c>
      <c r="O320">
        <v>5836</v>
      </c>
      <c r="T320" s="1"/>
    </row>
    <row r="321" spans="1:20">
      <c r="A321">
        <v>1</v>
      </c>
      <c r="B321">
        <v>779126</v>
      </c>
      <c r="C321" t="s">
        <v>10</v>
      </c>
      <c r="D321" s="2">
        <v>2327</v>
      </c>
      <c r="E321" s="1">
        <v>43952</v>
      </c>
      <c r="F321">
        <v>1</v>
      </c>
      <c r="G321">
        <v>5</v>
      </c>
      <c r="H321">
        <v>2020</v>
      </c>
      <c r="I321" s="5">
        <f>(Table32[[#This Row],[Revenue]]/Table32[[#This Row],[Units Sold]])</f>
        <v>5</v>
      </c>
      <c r="J321" s="5">
        <f>Table32[[#This Row],[revenue/unit]]-Table32[[#This Row],[Cost/unit]]</f>
        <v>3</v>
      </c>
      <c r="K321">
        <f>Table32[[#This Row],[Revenue]]-Table32[[#This Row],[Cost]]</f>
        <v>6981</v>
      </c>
      <c r="L321" s="6">
        <f>Table32[[#This Row],[Net Profit]]/Table32[[#This Row],[Cost]]</f>
        <v>1.5</v>
      </c>
      <c r="M321">
        <v>11635</v>
      </c>
      <c r="N321" s="7">
        <f>Table32[[#This Row],[Cost]]/Table32[[#This Row],[Units Sold]]</f>
        <v>2</v>
      </c>
      <c r="O321">
        <v>4654</v>
      </c>
      <c r="T321" s="1"/>
    </row>
    <row r="322" spans="1:20">
      <c r="A322">
        <v>1</v>
      </c>
      <c r="B322">
        <v>283491</v>
      </c>
      <c r="C322" t="s">
        <v>10</v>
      </c>
      <c r="D322" s="2">
        <v>1702</v>
      </c>
      <c r="E322" s="1">
        <v>43952</v>
      </c>
      <c r="F322">
        <v>1</v>
      </c>
      <c r="G322">
        <v>5</v>
      </c>
      <c r="H322">
        <v>2020</v>
      </c>
      <c r="I322" s="5">
        <f>(Table32[[#This Row],[Revenue]]/Table32[[#This Row],[Units Sold]])</f>
        <v>5</v>
      </c>
      <c r="J322" s="5">
        <f>Table32[[#This Row],[revenue/unit]]-Table32[[#This Row],[Cost/unit]]</f>
        <v>3</v>
      </c>
      <c r="K322">
        <f>Table32[[#This Row],[Revenue]]-Table32[[#This Row],[Cost]]</f>
        <v>5106</v>
      </c>
      <c r="L322" s="6">
        <f>Table32[[#This Row],[Net Profit]]/Table32[[#This Row],[Cost]]</f>
        <v>1.5</v>
      </c>
      <c r="M322">
        <v>8510</v>
      </c>
      <c r="N322" s="7">
        <f>Table32[[#This Row],[Cost]]/Table32[[#This Row],[Units Sold]]</f>
        <v>2</v>
      </c>
      <c r="O322">
        <v>3404</v>
      </c>
      <c r="T322" s="1"/>
    </row>
    <row r="323" spans="1:20">
      <c r="A323">
        <v>2</v>
      </c>
      <c r="B323">
        <v>566983</v>
      </c>
      <c r="C323" t="s">
        <v>10</v>
      </c>
      <c r="D323" s="2">
        <v>257</v>
      </c>
      <c r="E323" s="1">
        <v>43952</v>
      </c>
      <c r="F323">
        <v>1</v>
      </c>
      <c r="G323">
        <v>5</v>
      </c>
      <c r="H323">
        <v>2020</v>
      </c>
      <c r="I323" s="5">
        <f>(Table32[[#This Row],[Revenue]]/Table32[[#This Row],[Units Sold]])</f>
        <v>5</v>
      </c>
      <c r="J323" s="5">
        <f>Table32[[#This Row],[revenue/unit]]-Table32[[#This Row],[Cost/unit]]</f>
        <v>3</v>
      </c>
      <c r="K323">
        <f>Table32[[#This Row],[Revenue]]-Table32[[#This Row],[Cost]]</f>
        <v>771</v>
      </c>
      <c r="L323" s="6">
        <f>Table32[[#This Row],[Net Profit]]/Table32[[#This Row],[Cost]]</f>
        <v>1.5</v>
      </c>
      <c r="M323">
        <v>1285</v>
      </c>
      <c r="N323" s="7">
        <f>Table32[[#This Row],[Cost]]/Table32[[#This Row],[Units Sold]]</f>
        <v>2</v>
      </c>
      <c r="O323">
        <v>514</v>
      </c>
      <c r="T323" s="1"/>
    </row>
    <row r="324" spans="1:20">
      <c r="A324">
        <v>5</v>
      </c>
      <c r="B324">
        <v>278950</v>
      </c>
      <c r="C324" t="s">
        <v>10</v>
      </c>
      <c r="D324" s="2">
        <v>1095</v>
      </c>
      <c r="E324" s="1">
        <v>43952</v>
      </c>
      <c r="F324">
        <v>1</v>
      </c>
      <c r="G324">
        <v>5</v>
      </c>
      <c r="H324">
        <v>2020</v>
      </c>
      <c r="I324" s="5">
        <f>(Table32[[#This Row],[Revenue]]/Table32[[#This Row],[Units Sold]])</f>
        <v>5</v>
      </c>
      <c r="J324" s="5">
        <f>Table32[[#This Row],[revenue/unit]]-Table32[[#This Row],[Cost/unit]]</f>
        <v>3</v>
      </c>
      <c r="K324">
        <f>Table32[[#This Row],[Revenue]]-Table32[[#This Row],[Cost]]</f>
        <v>3285</v>
      </c>
      <c r="L324" s="6">
        <f>Table32[[#This Row],[Net Profit]]/Table32[[#This Row],[Cost]]</f>
        <v>1.5</v>
      </c>
      <c r="M324">
        <v>5475</v>
      </c>
      <c r="N324" s="7">
        <f>Table32[[#This Row],[Cost]]/Table32[[#This Row],[Units Sold]]</f>
        <v>2</v>
      </c>
      <c r="O324">
        <v>2190</v>
      </c>
      <c r="T324" s="1"/>
    </row>
    <row r="325" spans="1:20">
      <c r="A325">
        <v>4</v>
      </c>
      <c r="B325">
        <v>197639</v>
      </c>
      <c r="C325" t="s">
        <v>10</v>
      </c>
      <c r="D325" s="2">
        <v>591</v>
      </c>
      <c r="E325" s="1">
        <v>43952</v>
      </c>
      <c r="F325">
        <v>1</v>
      </c>
      <c r="G325">
        <v>5</v>
      </c>
      <c r="H325">
        <v>2020</v>
      </c>
      <c r="I325" s="5">
        <f>(Table32[[#This Row],[Revenue]]/Table32[[#This Row],[Units Sold]])</f>
        <v>5</v>
      </c>
      <c r="J325" s="5">
        <f>Table32[[#This Row],[revenue/unit]]-Table32[[#This Row],[Cost/unit]]</f>
        <v>3</v>
      </c>
      <c r="K325">
        <f>Table32[[#This Row],[Revenue]]-Table32[[#This Row],[Cost]]</f>
        <v>1773</v>
      </c>
      <c r="L325" s="6">
        <f>Table32[[#This Row],[Net Profit]]/Table32[[#This Row],[Cost]]</f>
        <v>1.5</v>
      </c>
      <c r="M325">
        <v>2955</v>
      </c>
      <c r="N325" s="7">
        <f>Table32[[#This Row],[Cost]]/Table32[[#This Row],[Units Sold]]</f>
        <v>2</v>
      </c>
      <c r="O325">
        <v>1182</v>
      </c>
      <c r="T325" s="1"/>
    </row>
    <row r="326" spans="1:20">
      <c r="A326">
        <v>4</v>
      </c>
      <c r="B326">
        <v>251968</v>
      </c>
      <c r="C326" t="s">
        <v>10</v>
      </c>
      <c r="D326" s="2">
        <v>2851</v>
      </c>
      <c r="E326" s="1">
        <v>43952</v>
      </c>
      <c r="F326">
        <v>1</v>
      </c>
      <c r="G326">
        <v>5</v>
      </c>
      <c r="H326">
        <v>2020</v>
      </c>
      <c r="I326" s="5">
        <f>(Table32[[#This Row],[Revenue]]/Table32[[#This Row],[Units Sold]])</f>
        <v>5</v>
      </c>
      <c r="J326" s="5">
        <f>Table32[[#This Row],[revenue/unit]]-Table32[[#This Row],[Cost/unit]]</f>
        <v>3</v>
      </c>
      <c r="K326">
        <f>Table32[[#This Row],[Revenue]]-Table32[[#This Row],[Cost]]</f>
        <v>8553</v>
      </c>
      <c r="L326" s="6">
        <f>Table32[[#This Row],[Net Profit]]/Table32[[#This Row],[Cost]]</f>
        <v>1.5</v>
      </c>
      <c r="M326">
        <v>14255</v>
      </c>
      <c r="N326" s="7">
        <f>Table32[[#This Row],[Cost]]/Table32[[#This Row],[Units Sold]]</f>
        <v>2</v>
      </c>
      <c r="O326">
        <v>5702</v>
      </c>
      <c r="T326" s="1"/>
    </row>
    <row r="327" spans="1:20">
      <c r="A327">
        <v>2</v>
      </c>
      <c r="B327">
        <v>199458</v>
      </c>
      <c r="C327" t="s">
        <v>11</v>
      </c>
      <c r="D327" s="2">
        <v>1460</v>
      </c>
      <c r="E327" s="1">
        <v>43952</v>
      </c>
      <c r="F327">
        <v>1</v>
      </c>
      <c r="G327">
        <v>5</v>
      </c>
      <c r="H327">
        <v>2020</v>
      </c>
      <c r="I327" s="5">
        <f>(Table32[[#This Row],[Revenue]]/Table32[[#This Row],[Units Sold]])</f>
        <v>1</v>
      </c>
      <c r="J327" s="5">
        <f>Table32[[#This Row],[revenue/unit]]-Table32[[#This Row],[Cost/unit]]</f>
        <v>0.5</v>
      </c>
      <c r="K327">
        <f>Table32[[#This Row],[Revenue]]-Table32[[#This Row],[Cost]]</f>
        <v>730</v>
      </c>
      <c r="L327" s="6">
        <f>Table32[[#This Row],[Net Profit]]/Table32[[#This Row],[Cost]]</f>
        <v>1</v>
      </c>
      <c r="M327">
        <v>1460</v>
      </c>
      <c r="N327" s="7">
        <f>Table32[[#This Row],[Cost]]/Table32[[#This Row],[Units Sold]]</f>
        <v>0.5</v>
      </c>
      <c r="O327">
        <v>730</v>
      </c>
      <c r="T327" s="1"/>
    </row>
    <row r="328" spans="1:20">
      <c r="A328">
        <v>2</v>
      </c>
      <c r="B328">
        <v>487819</v>
      </c>
      <c r="C328" t="s">
        <v>11</v>
      </c>
      <c r="D328" s="2">
        <v>1666</v>
      </c>
      <c r="E328" s="1">
        <v>43952</v>
      </c>
      <c r="F328">
        <v>1</v>
      </c>
      <c r="G328">
        <v>5</v>
      </c>
      <c r="H328">
        <v>2020</v>
      </c>
      <c r="I328" s="5">
        <f>(Table32[[#This Row],[Revenue]]/Table32[[#This Row],[Units Sold]])</f>
        <v>1</v>
      </c>
      <c r="J328" s="5">
        <f>Table32[[#This Row],[revenue/unit]]-Table32[[#This Row],[Cost/unit]]</f>
        <v>0.5</v>
      </c>
      <c r="K328">
        <f>Table32[[#This Row],[Revenue]]-Table32[[#This Row],[Cost]]</f>
        <v>833</v>
      </c>
      <c r="L328" s="6">
        <f>Table32[[#This Row],[Net Profit]]/Table32[[#This Row],[Cost]]</f>
        <v>1</v>
      </c>
      <c r="M328">
        <v>1666</v>
      </c>
      <c r="N328" s="7">
        <f>Table32[[#This Row],[Cost]]/Table32[[#This Row],[Units Sold]]</f>
        <v>0.5</v>
      </c>
      <c r="O328">
        <v>833</v>
      </c>
      <c r="T328" s="1"/>
    </row>
    <row r="329" spans="1:20">
      <c r="A329">
        <v>3</v>
      </c>
      <c r="B329">
        <v>561083</v>
      </c>
      <c r="C329" t="s">
        <v>11</v>
      </c>
      <c r="D329" s="2">
        <v>2313</v>
      </c>
      <c r="E329" s="1">
        <v>43952</v>
      </c>
      <c r="F329">
        <v>1</v>
      </c>
      <c r="G329">
        <v>5</v>
      </c>
      <c r="H329">
        <v>2020</v>
      </c>
      <c r="I329" s="5">
        <f>(Table32[[#This Row],[Revenue]]/Table32[[#This Row],[Units Sold]])</f>
        <v>1</v>
      </c>
      <c r="J329" s="5">
        <f>Table32[[#This Row],[revenue/unit]]-Table32[[#This Row],[Cost/unit]]</f>
        <v>0.5</v>
      </c>
      <c r="K329">
        <f>Table32[[#This Row],[Revenue]]-Table32[[#This Row],[Cost]]</f>
        <v>1156.5</v>
      </c>
      <c r="L329" s="6">
        <f>Table32[[#This Row],[Net Profit]]/Table32[[#This Row],[Cost]]</f>
        <v>1</v>
      </c>
      <c r="M329">
        <v>2313</v>
      </c>
      <c r="N329" s="7">
        <f>Table32[[#This Row],[Cost]]/Table32[[#This Row],[Units Sold]]</f>
        <v>0.5</v>
      </c>
      <c r="O329">
        <v>1156.5</v>
      </c>
      <c r="T329" s="1"/>
    </row>
    <row r="330" spans="1:20">
      <c r="A330">
        <v>1</v>
      </c>
      <c r="B330">
        <v>200053</v>
      </c>
      <c r="C330" t="s">
        <v>11</v>
      </c>
      <c r="D330" s="2">
        <v>2661</v>
      </c>
      <c r="E330" s="1">
        <v>43952</v>
      </c>
      <c r="F330">
        <v>1</v>
      </c>
      <c r="G330">
        <v>5</v>
      </c>
      <c r="H330">
        <v>2020</v>
      </c>
      <c r="I330" s="5">
        <f>(Table32[[#This Row],[Revenue]]/Table32[[#This Row],[Units Sold]])</f>
        <v>1</v>
      </c>
      <c r="J330" s="5">
        <f>Table32[[#This Row],[revenue/unit]]-Table32[[#This Row],[Cost/unit]]</f>
        <v>0.5</v>
      </c>
      <c r="K330">
        <f>Table32[[#This Row],[Revenue]]-Table32[[#This Row],[Cost]]</f>
        <v>1330.5</v>
      </c>
      <c r="L330" s="6">
        <f>Table32[[#This Row],[Net Profit]]/Table32[[#This Row],[Cost]]</f>
        <v>1</v>
      </c>
      <c r="M330">
        <v>2661</v>
      </c>
      <c r="N330" s="7">
        <f>Table32[[#This Row],[Cost]]/Table32[[#This Row],[Units Sold]]</f>
        <v>0.5</v>
      </c>
      <c r="O330">
        <v>1330.5</v>
      </c>
      <c r="T330" s="1"/>
    </row>
    <row r="331" spans="1:20">
      <c r="A331">
        <v>2</v>
      </c>
      <c r="B331">
        <v>205221</v>
      </c>
      <c r="C331" t="s">
        <v>11</v>
      </c>
      <c r="D331" s="2">
        <v>200</v>
      </c>
      <c r="E331" s="1">
        <v>43952</v>
      </c>
      <c r="F331">
        <v>1</v>
      </c>
      <c r="G331">
        <v>5</v>
      </c>
      <c r="H331">
        <v>2020</v>
      </c>
      <c r="I331" s="5">
        <f>(Table32[[#This Row],[Revenue]]/Table32[[#This Row],[Units Sold]])</f>
        <v>1</v>
      </c>
      <c r="J331" s="5">
        <f>Table32[[#This Row],[revenue/unit]]-Table32[[#This Row],[Cost/unit]]</f>
        <v>0.5</v>
      </c>
      <c r="K331">
        <f>Table32[[#This Row],[Revenue]]-Table32[[#This Row],[Cost]]</f>
        <v>100</v>
      </c>
      <c r="L331" s="6">
        <f>Table32[[#This Row],[Net Profit]]/Table32[[#This Row],[Cost]]</f>
        <v>1</v>
      </c>
      <c r="M331">
        <v>200</v>
      </c>
      <c r="N331" s="7">
        <f>Table32[[#This Row],[Cost]]/Table32[[#This Row],[Units Sold]]</f>
        <v>0.5</v>
      </c>
      <c r="O331">
        <v>100</v>
      </c>
      <c r="T331" s="1"/>
    </row>
    <row r="332" spans="1:20">
      <c r="A332">
        <v>4</v>
      </c>
      <c r="B332">
        <v>655952</v>
      </c>
      <c r="C332" t="s">
        <v>12</v>
      </c>
      <c r="D332" s="2">
        <v>2276</v>
      </c>
      <c r="E332" s="1">
        <v>43952</v>
      </c>
      <c r="F332">
        <v>1</v>
      </c>
      <c r="G332">
        <v>5</v>
      </c>
      <c r="H332">
        <v>2020</v>
      </c>
      <c r="I332" s="5">
        <f>(Table32[[#This Row],[Revenue]]/Table32[[#This Row],[Units Sold]])</f>
        <v>5</v>
      </c>
      <c r="J332" s="5">
        <f>Table32[[#This Row],[revenue/unit]]-Table32[[#This Row],[Cost/unit]]</f>
        <v>2.8</v>
      </c>
      <c r="K332">
        <f>Table32[[#This Row],[Revenue]]-Table32[[#This Row],[Cost]]</f>
        <v>6372.7999999999993</v>
      </c>
      <c r="L332" s="6">
        <f>Table32[[#This Row],[Net Profit]]/Table32[[#This Row],[Cost]]</f>
        <v>1.2727272727272725</v>
      </c>
      <c r="M332">
        <v>11380</v>
      </c>
      <c r="N332" s="7">
        <f>Table32[[#This Row],[Cost]]/Table32[[#This Row],[Units Sold]]</f>
        <v>2.2000000000000002</v>
      </c>
      <c r="O332">
        <v>5007.2000000000007</v>
      </c>
      <c r="T332" s="1"/>
    </row>
    <row r="333" spans="1:20">
      <c r="A333">
        <v>3</v>
      </c>
      <c r="B333">
        <v>493427</v>
      </c>
      <c r="C333" t="s">
        <v>12</v>
      </c>
      <c r="D333" s="2">
        <v>1645</v>
      </c>
      <c r="E333" s="1">
        <v>43952</v>
      </c>
      <c r="F333">
        <v>1</v>
      </c>
      <c r="G333">
        <v>5</v>
      </c>
      <c r="H333">
        <v>2020</v>
      </c>
      <c r="I333" s="5">
        <f>(Table32[[#This Row],[Revenue]]/Table32[[#This Row],[Units Sold]])</f>
        <v>5</v>
      </c>
      <c r="J333" s="5">
        <f>Table32[[#This Row],[revenue/unit]]-Table32[[#This Row],[Cost/unit]]</f>
        <v>2.8</v>
      </c>
      <c r="K333">
        <f>Table32[[#This Row],[Revenue]]-Table32[[#This Row],[Cost]]</f>
        <v>4606</v>
      </c>
      <c r="L333" s="6">
        <f>Table32[[#This Row],[Net Profit]]/Table32[[#This Row],[Cost]]</f>
        <v>1.2727272727272725</v>
      </c>
      <c r="M333">
        <v>8225</v>
      </c>
      <c r="N333" s="7">
        <f>Table32[[#This Row],[Cost]]/Table32[[#This Row],[Units Sold]]</f>
        <v>2.2000000000000002</v>
      </c>
      <c r="O333">
        <v>3619.0000000000005</v>
      </c>
      <c r="T333" s="1"/>
    </row>
    <row r="334" spans="1:20">
      <c r="A334">
        <v>4</v>
      </c>
      <c r="B334">
        <v>120233</v>
      </c>
      <c r="C334" t="s">
        <v>12</v>
      </c>
      <c r="D334" s="2">
        <v>2039</v>
      </c>
      <c r="E334" s="1">
        <v>43952</v>
      </c>
      <c r="F334">
        <v>1</v>
      </c>
      <c r="G334">
        <v>5</v>
      </c>
      <c r="H334">
        <v>2020</v>
      </c>
      <c r="I334" s="5">
        <f>(Table32[[#This Row],[Revenue]]/Table32[[#This Row],[Units Sold]])</f>
        <v>5</v>
      </c>
      <c r="J334" s="5">
        <f>Table32[[#This Row],[revenue/unit]]-Table32[[#This Row],[Cost/unit]]</f>
        <v>2.8</v>
      </c>
      <c r="K334">
        <f>Table32[[#This Row],[Revenue]]-Table32[[#This Row],[Cost]]</f>
        <v>5709.2</v>
      </c>
      <c r="L334" s="6">
        <f>Table32[[#This Row],[Net Profit]]/Table32[[#This Row],[Cost]]</f>
        <v>1.2727272727272727</v>
      </c>
      <c r="M334">
        <v>10195</v>
      </c>
      <c r="N334" s="7">
        <f>Table32[[#This Row],[Cost]]/Table32[[#This Row],[Units Sold]]</f>
        <v>2.2000000000000002</v>
      </c>
      <c r="O334">
        <v>4485.8</v>
      </c>
      <c r="T334" s="1"/>
    </row>
    <row r="335" spans="1:20">
      <c r="A335">
        <v>3</v>
      </c>
      <c r="B335">
        <v>821698</v>
      </c>
      <c r="C335" t="s">
        <v>12</v>
      </c>
      <c r="D335" s="2">
        <v>1433</v>
      </c>
      <c r="E335" s="1">
        <v>43952</v>
      </c>
      <c r="F335">
        <v>1</v>
      </c>
      <c r="G335">
        <v>5</v>
      </c>
      <c r="H335">
        <v>2020</v>
      </c>
      <c r="I335" s="5">
        <f>(Table32[[#This Row],[Revenue]]/Table32[[#This Row],[Units Sold]])</f>
        <v>5</v>
      </c>
      <c r="J335" s="5">
        <f>Table32[[#This Row],[revenue/unit]]-Table32[[#This Row],[Cost/unit]]</f>
        <v>2.8</v>
      </c>
      <c r="K335">
        <f>Table32[[#This Row],[Revenue]]-Table32[[#This Row],[Cost]]</f>
        <v>4012.3999999999996</v>
      </c>
      <c r="L335" s="6">
        <f>Table32[[#This Row],[Net Profit]]/Table32[[#This Row],[Cost]]</f>
        <v>1.2727272727272725</v>
      </c>
      <c r="M335">
        <v>7165</v>
      </c>
      <c r="N335" s="7">
        <f>Table32[[#This Row],[Cost]]/Table32[[#This Row],[Units Sold]]</f>
        <v>2.2000000000000002</v>
      </c>
      <c r="O335">
        <v>3152.6000000000004</v>
      </c>
      <c r="T335" s="1"/>
    </row>
    <row r="336" spans="1:20">
      <c r="A336">
        <v>2</v>
      </c>
      <c r="B336">
        <v>374115</v>
      </c>
      <c r="C336" t="s">
        <v>12</v>
      </c>
      <c r="D336" s="2">
        <v>2844</v>
      </c>
      <c r="E336" s="1">
        <v>43952</v>
      </c>
      <c r="F336">
        <v>1</v>
      </c>
      <c r="G336">
        <v>5</v>
      </c>
      <c r="H336">
        <v>2020</v>
      </c>
      <c r="I336" s="5">
        <f>(Table32[[#This Row],[Revenue]]/Table32[[#This Row],[Units Sold]])</f>
        <v>5</v>
      </c>
      <c r="J336" s="5">
        <f>Table32[[#This Row],[revenue/unit]]-Table32[[#This Row],[Cost/unit]]</f>
        <v>2.8</v>
      </c>
      <c r="K336">
        <f>Table32[[#This Row],[Revenue]]-Table32[[#This Row],[Cost]]</f>
        <v>7963.2</v>
      </c>
      <c r="L336" s="6">
        <f>Table32[[#This Row],[Net Profit]]/Table32[[#This Row],[Cost]]</f>
        <v>1.2727272727272727</v>
      </c>
      <c r="M336">
        <v>14220</v>
      </c>
      <c r="N336" s="7">
        <f>Table32[[#This Row],[Cost]]/Table32[[#This Row],[Units Sold]]</f>
        <v>2.2000000000000002</v>
      </c>
      <c r="O336">
        <v>6256.8</v>
      </c>
      <c r="T336" s="1"/>
    </row>
    <row r="337" spans="1:20">
      <c r="A337">
        <v>1</v>
      </c>
      <c r="B337">
        <v>355733</v>
      </c>
      <c r="C337" t="s">
        <v>13</v>
      </c>
      <c r="D337" s="2">
        <v>831</v>
      </c>
      <c r="E337" s="1">
        <v>43952</v>
      </c>
      <c r="F337">
        <v>1</v>
      </c>
      <c r="G337">
        <v>5</v>
      </c>
      <c r="H337">
        <v>2020</v>
      </c>
      <c r="I337" s="5">
        <f>(Table32[[#This Row],[Revenue]]/Table32[[#This Row],[Units Sold]])</f>
        <v>4</v>
      </c>
      <c r="J337" s="5">
        <f>Table32[[#This Row],[revenue/unit]]-Table32[[#This Row],[Cost/unit]]</f>
        <v>2.5</v>
      </c>
      <c r="K337">
        <f>Table32[[#This Row],[Revenue]]-Table32[[#This Row],[Cost]]</f>
        <v>2077.5</v>
      </c>
      <c r="L337" s="6">
        <f>Table32[[#This Row],[Net Profit]]/Table32[[#This Row],[Cost]]</f>
        <v>1.6666666666666667</v>
      </c>
      <c r="M337">
        <v>3324</v>
      </c>
      <c r="N337" s="7">
        <f>Table32[[#This Row],[Cost]]/Table32[[#This Row],[Units Sold]]</f>
        <v>1.5</v>
      </c>
      <c r="O337">
        <v>1246.5</v>
      </c>
      <c r="T337" s="1"/>
    </row>
    <row r="338" spans="1:20">
      <c r="A338">
        <v>2</v>
      </c>
      <c r="B338">
        <v>295574</v>
      </c>
      <c r="C338" t="s">
        <v>13</v>
      </c>
      <c r="D338" s="2">
        <v>1563</v>
      </c>
      <c r="E338" s="1">
        <v>43952</v>
      </c>
      <c r="F338">
        <v>1</v>
      </c>
      <c r="G338">
        <v>5</v>
      </c>
      <c r="H338">
        <v>2020</v>
      </c>
      <c r="I338" s="5">
        <f>(Table32[[#This Row],[Revenue]]/Table32[[#This Row],[Units Sold]])</f>
        <v>4</v>
      </c>
      <c r="J338" s="5">
        <f>Table32[[#This Row],[revenue/unit]]-Table32[[#This Row],[Cost/unit]]</f>
        <v>2.5</v>
      </c>
      <c r="K338">
        <f>Table32[[#This Row],[Revenue]]-Table32[[#This Row],[Cost]]</f>
        <v>3907.5</v>
      </c>
      <c r="L338" s="6">
        <f>Table32[[#This Row],[Net Profit]]/Table32[[#This Row],[Cost]]</f>
        <v>1.6666666666666667</v>
      </c>
      <c r="M338">
        <v>6252</v>
      </c>
      <c r="N338" s="7">
        <f>Table32[[#This Row],[Cost]]/Table32[[#This Row],[Units Sold]]</f>
        <v>1.5</v>
      </c>
      <c r="O338">
        <v>2344.5</v>
      </c>
      <c r="T338" s="1"/>
    </row>
    <row r="339" spans="1:20">
      <c r="A339">
        <v>5</v>
      </c>
      <c r="B339">
        <v>273665</v>
      </c>
      <c r="C339" t="s">
        <v>13</v>
      </c>
      <c r="D339" s="2">
        <v>663</v>
      </c>
      <c r="E339" s="1">
        <v>43952</v>
      </c>
      <c r="F339">
        <v>1</v>
      </c>
      <c r="G339">
        <v>5</v>
      </c>
      <c r="H339">
        <v>2020</v>
      </c>
      <c r="I339" s="5">
        <f>(Table32[[#This Row],[Revenue]]/Table32[[#This Row],[Units Sold]])</f>
        <v>4</v>
      </c>
      <c r="J339" s="5">
        <f>Table32[[#This Row],[revenue/unit]]-Table32[[#This Row],[Cost/unit]]</f>
        <v>2.5</v>
      </c>
      <c r="K339">
        <f>Table32[[#This Row],[Revenue]]-Table32[[#This Row],[Cost]]</f>
        <v>1657.5</v>
      </c>
      <c r="L339" s="6">
        <f>Table32[[#This Row],[Net Profit]]/Table32[[#This Row],[Cost]]</f>
        <v>1.6666666666666667</v>
      </c>
      <c r="M339">
        <v>2652</v>
      </c>
      <c r="N339" s="7">
        <f>Table32[[#This Row],[Cost]]/Table32[[#This Row],[Units Sold]]</f>
        <v>1.5</v>
      </c>
      <c r="O339">
        <v>994.5</v>
      </c>
      <c r="T339" s="1"/>
    </row>
    <row r="340" spans="1:20">
      <c r="A340">
        <v>3</v>
      </c>
      <c r="B340">
        <v>759484</v>
      </c>
      <c r="C340" t="s">
        <v>13</v>
      </c>
      <c r="D340" s="2">
        <v>1743</v>
      </c>
      <c r="E340" s="1">
        <v>43952</v>
      </c>
      <c r="F340">
        <v>1</v>
      </c>
      <c r="G340">
        <v>5</v>
      </c>
      <c r="H340">
        <v>2020</v>
      </c>
      <c r="I340" s="5">
        <f>(Table32[[#This Row],[Revenue]]/Table32[[#This Row],[Units Sold]])</f>
        <v>4</v>
      </c>
      <c r="J340" s="5">
        <f>Table32[[#This Row],[revenue/unit]]-Table32[[#This Row],[Cost/unit]]</f>
        <v>2.5</v>
      </c>
      <c r="K340">
        <f>Table32[[#This Row],[Revenue]]-Table32[[#This Row],[Cost]]</f>
        <v>4357.5</v>
      </c>
      <c r="L340" s="6">
        <f>Table32[[#This Row],[Net Profit]]/Table32[[#This Row],[Cost]]</f>
        <v>1.6666666666666667</v>
      </c>
      <c r="M340">
        <v>6972</v>
      </c>
      <c r="N340" s="7">
        <f>Table32[[#This Row],[Cost]]/Table32[[#This Row],[Units Sold]]</f>
        <v>1.5</v>
      </c>
      <c r="O340">
        <v>2614.5</v>
      </c>
      <c r="T340" s="1"/>
    </row>
    <row r="341" spans="1:20">
      <c r="A341">
        <v>5</v>
      </c>
      <c r="B341">
        <v>818048</v>
      </c>
      <c r="C341" t="s">
        <v>14</v>
      </c>
      <c r="D341" s="2">
        <v>866</v>
      </c>
      <c r="E341" s="1">
        <v>43952</v>
      </c>
      <c r="F341">
        <v>1</v>
      </c>
      <c r="G341">
        <v>5</v>
      </c>
      <c r="H341">
        <v>2020</v>
      </c>
      <c r="I341" s="5">
        <f>(Table32[[#This Row],[Revenue]]/Table32[[#This Row],[Units Sold]])</f>
        <v>3</v>
      </c>
      <c r="J341" s="5">
        <f>Table32[[#This Row],[revenue/unit]]-Table32[[#This Row],[Cost/unit]]</f>
        <v>1.75</v>
      </c>
      <c r="K341">
        <f>Table32[[#This Row],[Revenue]]-Table32[[#This Row],[Cost]]</f>
        <v>1515.5</v>
      </c>
      <c r="L341" s="6">
        <f>Table32[[#This Row],[Net Profit]]/Table32[[#This Row],[Cost]]</f>
        <v>1.4</v>
      </c>
      <c r="M341">
        <v>2598</v>
      </c>
      <c r="N341" s="7">
        <f>Table32[[#This Row],[Cost]]/Table32[[#This Row],[Units Sold]]</f>
        <v>1.25</v>
      </c>
      <c r="O341">
        <v>1082.5</v>
      </c>
      <c r="T341" s="1"/>
    </row>
    <row r="342" spans="1:20">
      <c r="A342">
        <v>3</v>
      </c>
      <c r="B342">
        <v>747194</v>
      </c>
      <c r="C342" t="s">
        <v>14</v>
      </c>
      <c r="D342" s="2">
        <v>880</v>
      </c>
      <c r="E342" s="1">
        <v>43952</v>
      </c>
      <c r="F342">
        <v>1</v>
      </c>
      <c r="G342">
        <v>5</v>
      </c>
      <c r="H342">
        <v>2020</v>
      </c>
      <c r="I342" s="5">
        <f>(Table32[[#This Row],[Revenue]]/Table32[[#This Row],[Units Sold]])</f>
        <v>3</v>
      </c>
      <c r="J342" s="5">
        <f>Table32[[#This Row],[revenue/unit]]-Table32[[#This Row],[Cost/unit]]</f>
        <v>1.75</v>
      </c>
      <c r="K342">
        <f>Table32[[#This Row],[Revenue]]-Table32[[#This Row],[Cost]]</f>
        <v>1540</v>
      </c>
      <c r="L342" s="6">
        <f>Table32[[#This Row],[Net Profit]]/Table32[[#This Row],[Cost]]</f>
        <v>1.4</v>
      </c>
      <c r="M342">
        <v>2640</v>
      </c>
      <c r="N342" s="7">
        <f>Table32[[#This Row],[Cost]]/Table32[[#This Row],[Units Sold]]</f>
        <v>1.25</v>
      </c>
      <c r="O342">
        <v>1100</v>
      </c>
      <c r="T342" s="1"/>
    </row>
    <row r="343" spans="1:20">
      <c r="A343">
        <v>5</v>
      </c>
      <c r="B343">
        <v>727045</v>
      </c>
      <c r="C343" t="s">
        <v>14</v>
      </c>
      <c r="D343" s="2">
        <v>341</v>
      </c>
      <c r="E343" s="1">
        <v>43952</v>
      </c>
      <c r="F343">
        <v>1</v>
      </c>
      <c r="G343">
        <v>5</v>
      </c>
      <c r="H343">
        <v>2020</v>
      </c>
      <c r="I343" s="5">
        <f>(Table32[[#This Row],[Revenue]]/Table32[[#This Row],[Units Sold]])</f>
        <v>3</v>
      </c>
      <c r="J343" s="5">
        <f>Table32[[#This Row],[revenue/unit]]-Table32[[#This Row],[Cost/unit]]</f>
        <v>1.75</v>
      </c>
      <c r="K343">
        <f>Table32[[#This Row],[Revenue]]-Table32[[#This Row],[Cost]]</f>
        <v>596.75</v>
      </c>
      <c r="L343" s="6">
        <f>Table32[[#This Row],[Net Profit]]/Table32[[#This Row],[Cost]]</f>
        <v>1.4</v>
      </c>
      <c r="M343">
        <v>1023</v>
      </c>
      <c r="N343" s="7">
        <f>Table32[[#This Row],[Cost]]/Table32[[#This Row],[Units Sold]]</f>
        <v>1.25</v>
      </c>
      <c r="O343">
        <v>426.25</v>
      </c>
      <c r="T343" s="1"/>
    </row>
    <row r="344" spans="1:20">
      <c r="A344">
        <v>2</v>
      </c>
      <c r="B344">
        <v>644843</v>
      </c>
      <c r="C344" t="s">
        <v>14</v>
      </c>
      <c r="D344" s="2">
        <v>2109</v>
      </c>
      <c r="E344" s="1">
        <v>43952</v>
      </c>
      <c r="F344">
        <v>1</v>
      </c>
      <c r="G344">
        <v>5</v>
      </c>
      <c r="H344">
        <v>2020</v>
      </c>
      <c r="I344" s="5">
        <f>(Table32[[#This Row],[Revenue]]/Table32[[#This Row],[Units Sold]])</f>
        <v>3</v>
      </c>
      <c r="J344" s="5">
        <f>Table32[[#This Row],[revenue/unit]]-Table32[[#This Row],[Cost/unit]]</f>
        <v>1.75</v>
      </c>
      <c r="K344">
        <f>Table32[[#This Row],[Revenue]]-Table32[[#This Row],[Cost]]</f>
        <v>3690.75</v>
      </c>
      <c r="L344" s="6">
        <f>Table32[[#This Row],[Net Profit]]/Table32[[#This Row],[Cost]]</f>
        <v>1.4</v>
      </c>
      <c r="M344">
        <v>6327</v>
      </c>
      <c r="N344" s="7">
        <f>Table32[[#This Row],[Cost]]/Table32[[#This Row],[Units Sold]]</f>
        <v>1.25</v>
      </c>
      <c r="O344">
        <v>2636.25</v>
      </c>
      <c r="T344" s="1"/>
    </row>
    <row r="345" spans="1:20">
      <c r="A345">
        <v>3</v>
      </c>
      <c r="B345">
        <v>559561</v>
      </c>
      <c r="C345" t="s">
        <v>14</v>
      </c>
      <c r="D345" s="2">
        <v>1806</v>
      </c>
      <c r="E345" s="1">
        <v>43952</v>
      </c>
      <c r="F345">
        <v>1</v>
      </c>
      <c r="G345">
        <v>5</v>
      </c>
      <c r="H345">
        <v>2020</v>
      </c>
      <c r="I345" s="5">
        <f>(Table32[[#This Row],[Revenue]]/Table32[[#This Row],[Units Sold]])</f>
        <v>3</v>
      </c>
      <c r="J345" s="5">
        <f>Table32[[#This Row],[revenue/unit]]-Table32[[#This Row],[Cost/unit]]</f>
        <v>1.75</v>
      </c>
      <c r="K345">
        <f>Table32[[#This Row],[Revenue]]-Table32[[#This Row],[Cost]]</f>
        <v>3160.5</v>
      </c>
      <c r="L345" s="6">
        <f>Table32[[#This Row],[Net Profit]]/Table32[[#This Row],[Cost]]</f>
        <v>1.4</v>
      </c>
      <c r="M345">
        <v>5418</v>
      </c>
      <c r="N345" s="7">
        <f>Table32[[#This Row],[Cost]]/Table32[[#This Row],[Units Sold]]</f>
        <v>1.25</v>
      </c>
      <c r="O345">
        <v>2257.5</v>
      </c>
      <c r="T345" s="1"/>
    </row>
    <row r="346" spans="1:20">
      <c r="A346">
        <v>1</v>
      </c>
      <c r="B346">
        <v>729194</v>
      </c>
      <c r="C346" t="s">
        <v>15</v>
      </c>
      <c r="D346" s="2">
        <v>362</v>
      </c>
      <c r="E346" s="1">
        <v>43952</v>
      </c>
      <c r="F346">
        <v>1</v>
      </c>
      <c r="G346">
        <v>5</v>
      </c>
      <c r="H346">
        <v>2020</v>
      </c>
      <c r="I346" s="5">
        <f>(Table32[[#This Row],[Revenue]]/Table32[[#This Row],[Units Sold]])</f>
        <v>6</v>
      </c>
      <c r="J346" s="5">
        <f>Table32[[#This Row],[revenue/unit]]-Table32[[#This Row],[Cost/unit]]</f>
        <v>3.25</v>
      </c>
      <c r="K346">
        <f>Table32[[#This Row],[Revenue]]-Table32[[#This Row],[Cost]]</f>
        <v>1176.5</v>
      </c>
      <c r="L346" s="6">
        <f>Table32[[#This Row],[Net Profit]]/Table32[[#This Row],[Cost]]</f>
        <v>1.1818181818181819</v>
      </c>
      <c r="M346">
        <v>2172</v>
      </c>
      <c r="N346" s="7">
        <f>Table32[[#This Row],[Cost]]/Table32[[#This Row],[Units Sold]]</f>
        <v>2.75</v>
      </c>
      <c r="O346">
        <v>995.5</v>
      </c>
      <c r="T346" s="1"/>
    </row>
    <row r="347" spans="1:20">
      <c r="A347">
        <v>5</v>
      </c>
      <c r="B347">
        <v>374150</v>
      </c>
      <c r="C347" t="s">
        <v>15</v>
      </c>
      <c r="D347" s="2">
        <v>1530</v>
      </c>
      <c r="E347" s="1">
        <v>43952</v>
      </c>
      <c r="F347">
        <v>1</v>
      </c>
      <c r="G347">
        <v>5</v>
      </c>
      <c r="H347">
        <v>2020</v>
      </c>
      <c r="I347" s="5">
        <f>(Table32[[#This Row],[Revenue]]/Table32[[#This Row],[Units Sold]])</f>
        <v>6</v>
      </c>
      <c r="J347" s="5">
        <f>Table32[[#This Row],[revenue/unit]]-Table32[[#This Row],[Cost/unit]]</f>
        <v>3.25</v>
      </c>
      <c r="K347">
        <f>Table32[[#This Row],[Revenue]]-Table32[[#This Row],[Cost]]</f>
        <v>4972.5</v>
      </c>
      <c r="L347" s="6">
        <f>Table32[[#This Row],[Net Profit]]/Table32[[#This Row],[Cost]]</f>
        <v>1.1818181818181819</v>
      </c>
      <c r="M347">
        <v>9180</v>
      </c>
      <c r="N347" s="7">
        <f>Table32[[#This Row],[Cost]]/Table32[[#This Row],[Units Sold]]</f>
        <v>2.75</v>
      </c>
      <c r="O347">
        <v>4207.5</v>
      </c>
      <c r="T347" s="1"/>
    </row>
    <row r="348" spans="1:20">
      <c r="A348">
        <v>3</v>
      </c>
      <c r="B348">
        <v>636371</v>
      </c>
      <c r="C348" t="s">
        <v>15</v>
      </c>
      <c r="D348" s="2">
        <v>1262</v>
      </c>
      <c r="E348" s="1">
        <v>43952</v>
      </c>
      <c r="F348">
        <v>1</v>
      </c>
      <c r="G348">
        <v>5</v>
      </c>
      <c r="H348">
        <v>2020</v>
      </c>
      <c r="I348" s="5">
        <f>(Table32[[#This Row],[Revenue]]/Table32[[#This Row],[Units Sold]])</f>
        <v>6</v>
      </c>
      <c r="J348" s="5">
        <f>Table32[[#This Row],[revenue/unit]]-Table32[[#This Row],[Cost/unit]]</f>
        <v>3.25</v>
      </c>
      <c r="K348">
        <f>Table32[[#This Row],[Revenue]]-Table32[[#This Row],[Cost]]</f>
        <v>4101.5</v>
      </c>
      <c r="L348" s="6">
        <f>Table32[[#This Row],[Net Profit]]/Table32[[#This Row],[Cost]]</f>
        <v>1.1818181818181819</v>
      </c>
      <c r="M348">
        <v>7572</v>
      </c>
      <c r="N348" s="7">
        <f>Table32[[#This Row],[Cost]]/Table32[[#This Row],[Units Sold]]</f>
        <v>2.75</v>
      </c>
      <c r="O348">
        <v>3470.5</v>
      </c>
      <c r="T348" s="1"/>
    </row>
    <row r="349" spans="1:20">
      <c r="A349">
        <v>1</v>
      </c>
      <c r="B349">
        <v>847731</v>
      </c>
      <c r="C349" t="s">
        <v>15</v>
      </c>
      <c r="D349" s="2">
        <v>245</v>
      </c>
      <c r="E349" s="1">
        <v>43952</v>
      </c>
      <c r="F349">
        <v>1</v>
      </c>
      <c r="G349">
        <v>5</v>
      </c>
      <c r="H349">
        <v>2020</v>
      </c>
      <c r="I349" s="5">
        <f>(Table32[[#This Row],[Revenue]]/Table32[[#This Row],[Units Sold]])</f>
        <v>6</v>
      </c>
      <c r="J349" s="5">
        <f>Table32[[#This Row],[revenue/unit]]-Table32[[#This Row],[Cost/unit]]</f>
        <v>3.25</v>
      </c>
      <c r="K349">
        <f>Table32[[#This Row],[Revenue]]-Table32[[#This Row],[Cost]]</f>
        <v>796.25</v>
      </c>
      <c r="L349" s="6">
        <f>Table32[[#This Row],[Net Profit]]/Table32[[#This Row],[Cost]]</f>
        <v>1.1818181818181819</v>
      </c>
      <c r="M349">
        <v>1470</v>
      </c>
      <c r="N349" s="7">
        <f>Table32[[#This Row],[Cost]]/Table32[[#This Row],[Units Sold]]</f>
        <v>2.75</v>
      </c>
      <c r="O349">
        <v>673.75</v>
      </c>
      <c r="T349" s="1"/>
    </row>
    <row r="350" spans="1:20">
      <c r="A350">
        <v>1</v>
      </c>
      <c r="B350">
        <v>217808</v>
      </c>
      <c r="C350" t="s">
        <v>15</v>
      </c>
      <c r="D350" s="2">
        <v>790</v>
      </c>
      <c r="E350" s="1">
        <v>43952</v>
      </c>
      <c r="F350">
        <v>1</v>
      </c>
      <c r="G350">
        <v>5</v>
      </c>
      <c r="H350">
        <v>2020</v>
      </c>
      <c r="I350" s="5">
        <f>(Table32[[#This Row],[Revenue]]/Table32[[#This Row],[Units Sold]])</f>
        <v>6</v>
      </c>
      <c r="J350" s="5">
        <f>Table32[[#This Row],[revenue/unit]]-Table32[[#This Row],[Cost/unit]]</f>
        <v>3.25</v>
      </c>
      <c r="K350">
        <f>Table32[[#This Row],[Revenue]]-Table32[[#This Row],[Cost]]</f>
        <v>2567.5</v>
      </c>
      <c r="L350" s="6">
        <f>Table32[[#This Row],[Net Profit]]/Table32[[#This Row],[Cost]]</f>
        <v>1.1818181818181819</v>
      </c>
      <c r="M350">
        <v>4740</v>
      </c>
      <c r="N350" s="7">
        <f>Table32[[#This Row],[Cost]]/Table32[[#This Row],[Units Sold]]</f>
        <v>2.75</v>
      </c>
      <c r="O350">
        <v>2172.5</v>
      </c>
      <c r="T350" s="1"/>
    </row>
    <row r="351" spans="1:20">
      <c r="A351">
        <v>3</v>
      </c>
      <c r="B351">
        <v>853295</v>
      </c>
      <c r="C351" t="s">
        <v>15</v>
      </c>
      <c r="D351" s="2">
        <v>2826</v>
      </c>
      <c r="E351" s="1">
        <v>43952</v>
      </c>
      <c r="F351">
        <v>1</v>
      </c>
      <c r="G351">
        <v>5</v>
      </c>
      <c r="H351">
        <v>2020</v>
      </c>
      <c r="I351" s="5">
        <f>(Table32[[#This Row],[Revenue]]/Table32[[#This Row],[Units Sold]])</f>
        <v>6</v>
      </c>
      <c r="J351" s="5">
        <f>Table32[[#This Row],[revenue/unit]]-Table32[[#This Row],[Cost/unit]]</f>
        <v>3.25</v>
      </c>
      <c r="K351">
        <f>Table32[[#This Row],[Revenue]]-Table32[[#This Row],[Cost]]</f>
        <v>9184.5</v>
      </c>
      <c r="L351" s="6">
        <f>Table32[[#This Row],[Net Profit]]/Table32[[#This Row],[Cost]]</f>
        <v>1.1818181818181819</v>
      </c>
      <c r="M351">
        <v>16956</v>
      </c>
      <c r="N351" s="7">
        <f>Table32[[#This Row],[Cost]]/Table32[[#This Row],[Units Sold]]</f>
        <v>2.75</v>
      </c>
      <c r="O351">
        <v>7771.5</v>
      </c>
      <c r="T351" s="1"/>
    </row>
    <row r="352" spans="1:20">
      <c r="A352">
        <v>3</v>
      </c>
      <c r="B352">
        <v>684759</v>
      </c>
      <c r="C352" t="s">
        <v>10</v>
      </c>
      <c r="D352" s="2">
        <v>2518</v>
      </c>
      <c r="E352" s="1">
        <v>43983</v>
      </c>
      <c r="F352">
        <v>1</v>
      </c>
      <c r="G352">
        <v>6</v>
      </c>
      <c r="H352">
        <v>2020</v>
      </c>
      <c r="I352" s="5">
        <f>(Table32[[#This Row],[Revenue]]/Table32[[#This Row],[Units Sold]])</f>
        <v>5</v>
      </c>
      <c r="J352" s="5">
        <f>Table32[[#This Row],[revenue/unit]]-Table32[[#This Row],[Cost/unit]]</f>
        <v>3</v>
      </c>
      <c r="K352">
        <f>Table32[[#This Row],[Revenue]]-Table32[[#This Row],[Cost]]</f>
        <v>7554</v>
      </c>
      <c r="L352" s="6">
        <f>Table32[[#This Row],[Net Profit]]/Table32[[#This Row],[Cost]]</f>
        <v>1.5</v>
      </c>
      <c r="M352">
        <v>12590</v>
      </c>
      <c r="N352" s="7">
        <f>Table32[[#This Row],[Cost]]/Table32[[#This Row],[Units Sold]]</f>
        <v>2</v>
      </c>
      <c r="O352">
        <v>5036</v>
      </c>
      <c r="T352" s="1"/>
    </row>
    <row r="353" spans="1:20">
      <c r="A353">
        <v>4</v>
      </c>
      <c r="B353">
        <v>640447</v>
      </c>
      <c r="C353" t="s">
        <v>10</v>
      </c>
      <c r="D353" s="2">
        <v>1006</v>
      </c>
      <c r="E353" s="1">
        <v>43983</v>
      </c>
      <c r="F353">
        <v>1</v>
      </c>
      <c r="G353">
        <v>6</v>
      </c>
      <c r="H353">
        <v>2020</v>
      </c>
      <c r="I353" s="5">
        <f>(Table32[[#This Row],[Revenue]]/Table32[[#This Row],[Units Sold]])</f>
        <v>5</v>
      </c>
      <c r="J353" s="5">
        <f>Table32[[#This Row],[revenue/unit]]-Table32[[#This Row],[Cost/unit]]</f>
        <v>3</v>
      </c>
      <c r="K353">
        <f>Table32[[#This Row],[Revenue]]-Table32[[#This Row],[Cost]]</f>
        <v>3018</v>
      </c>
      <c r="L353" s="6">
        <f>Table32[[#This Row],[Net Profit]]/Table32[[#This Row],[Cost]]</f>
        <v>1.5</v>
      </c>
      <c r="M353">
        <v>5030</v>
      </c>
      <c r="N353" s="7">
        <f>Table32[[#This Row],[Cost]]/Table32[[#This Row],[Units Sold]]</f>
        <v>2</v>
      </c>
      <c r="O353">
        <v>2012</v>
      </c>
      <c r="T353" s="1"/>
    </row>
    <row r="354" spans="1:20">
      <c r="A354">
        <v>4</v>
      </c>
      <c r="B354">
        <v>885205</v>
      </c>
      <c r="C354" t="s">
        <v>10</v>
      </c>
      <c r="D354" s="2">
        <v>727</v>
      </c>
      <c r="E354" s="1">
        <v>43983</v>
      </c>
      <c r="F354">
        <v>1</v>
      </c>
      <c r="G354">
        <v>6</v>
      </c>
      <c r="H354">
        <v>2020</v>
      </c>
      <c r="I354" s="5">
        <f>(Table32[[#This Row],[Revenue]]/Table32[[#This Row],[Units Sold]])</f>
        <v>5</v>
      </c>
      <c r="J354" s="5">
        <f>Table32[[#This Row],[revenue/unit]]-Table32[[#This Row],[Cost/unit]]</f>
        <v>3</v>
      </c>
      <c r="K354">
        <f>Table32[[#This Row],[Revenue]]-Table32[[#This Row],[Cost]]</f>
        <v>2181</v>
      </c>
      <c r="L354" s="6">
        <f>Table32[[#This Row],[Net Profit]]/Table32[[#This Row],[Cost]]</f>
        <v>1.5</v>
      </c>
      <c r="M354">
        <v>3635</v>
      </c>
      <c r="N354" s="7">
        <f>Table32[[#This Row],[Cost]]/Table32[[#This Row],[Units Sold]]</f>
        <v>2</v>
      </c>
      <c r="O354">
        <v>1454</v>
      </c>
      <c r="T354" s="1"/>
    </row>
    <row r="355" spans="1:20">
      <c r="A355">
        <v>3</v>
      </c>
      <c r="B355">
        <v>387444</v>
      </c>
      <c r="C355" t="s">
        <v>10</v>
      </c>
      <c r="D355" s="2">
        <v>787</v>
      </c>
      <c r="E355" s="1">
        <v>43983</v>
      </c>
      <c r="F355">
        <v>1</v>
      </c>
      <c r="G355">
        <v>6</v>
      </c>
      <c r="H355">
        <v>2020</v>
      </c>
      <c r="I355" s="5">
        <f>(Table32[[#This Row],[Revenue]]/Table32[[#This Row],[Units Sold]])</f>
        <v>5</v>
      </c>
      <c r="J355" s="5">
        <f>Table32[[#This Row],[revenue/unit]]-Table32[[#This Row],[Cost/unit]]</f>
        <v>3</v>
      </c>
      <c r="K355">
        <f>Table32[[#This Row],[Revenue]]-Table32[[#This Row],[Cost]]</f>
        <v>2361</v>
      </c>
      <c r="L355" s="6">
        <f>Table32[[#This Row],[Net Profit]]/Table32[[#This Row],[Cost]]</f>
        <v>1.5</v>
      </c>
      <c r="M355">
        <v>3935</v>
      </c>
      <c r="N355" s="7">
        <f>Table32[[#This Row],[Cost]]/Table32[[#This Row],[Units Sold]]</f>
        <v>2</v>
      </c>
      <c r="O355">
        <v>1574</v>
      </c>
      <c r="T355" s="1"/>
    </row>
    <row r="356" spans="1:20">
      <c r="A356">
        <v>1</v>
      </c>
      <c r="B356">
        <v>234290</v>
      </c>
      <c r="C356" t="s">
        <v>10</v>
      </c>
      <c r="D356" s="2">
        <v>1142</v>
      </c>
      <c r="E356" s="1">
        <v>43983</v>
      </c>
      <c r="F356">
        <v>1</v>
      </c>
      <c r="G356">
        <v>6</v>
      </c>
      <c r="H356">
        <v>2020</v>
      </c>
      <c r="I356" s="5">
        <f>(Table32[[#This Row],[Revenue]]/Table32[[#This Row],[Units Sold]])</f>
        <v>5</v>
      </c>
      <c r="J356" s="5">
        <f>Table32[[#This Row],[revenue/unit]]-Table32[[#This Row],[Cost/unit]]</f>
        <v>3</v>
      </c>
      <c r="K356">
        <f>Table32[[#This Row],[Revenue]]-Table32[[#This Row],[Cost]]</f>
        <v>3426</v>
      </c>
      <c r="L356" s="6">
        <f>Table32[[#This Row],[Net Profit]]/Table32[[#This Row],[Cost]]</f>
        <v>1.5</v>
      </c>
      <c r="M356">
        <v>5710</v>
      </c>
      <c r="N356" s="7">
        <f>Table32[[#This Row],[Cost]]/Table32[[#This Row],[Units Sold]]</f>
        <v>2</v>
      </c>
      <c r="O356">
        <v>2284</v>
      </c>
      <c r="T356" s="1"/>
    </row>
    <row r="357" spans="1:20">
      <c r="A357">
        <v>5</v>
      </c>
      <c r="B357">
        <v>847203</v>
      </c>
      <c r="C357" t="s">
        <v>10</v>
      </c>
      <c r="D357" s="2">
        <v>662</v>
      </c>
      <c r="E357" s="1">
        <v>43983</v>
      </c>
      <c r="F357">
        <v>1</v>
      </c>
      <c r="G357">
        <v>6</v>
      </c>
      <c r="H357">
        <v>2020</v>
      </c>
      <c r="I357" s="5">
        <f>(Table32[[#This Row],[Revenue]]/Table32[[#This Row],[Units Sold]])</f>
        <v>5</v>
      </c>
      <c r="J357" s="5">
        <f>Table32[[#This Row],[revenue/unit]]-Table32[[#This Row],[Cost/unit]]</f>
        <v>3</v>
      </c>
      <c r="K357">
        <f>Table32[[#This Row],[Revenue]]-Table32[[#This Row],[Cost]]</f>
        <v>1986</v>
      </c>
      <c r="L357" s="6">
        <f>Table32[[#This Row],[Net Profit]]/Table32[[#This Row],[Cost]]</f>
        <v>1.5</v>
      </c>
      <c r="M357">
        <v>3310</v>
      </c>
      <c r="N357" s="7">
        <f>Table32[[#This Row],[Cost]]/Table32[[#This Row],[Units Sold]]</f>
        <v>2</v>
      </c>
      <c r="O357">
        <v>1324</v>
      </c>
      <c r="T357" s="1"/>
    </row>
    <row r="358" spans="1:20">
      <c r="A358">
        <v>1</v>
      </c>
      <c r="B358">
        <v>296424</v>
      </c>
      <c r="C358" t="s">
        <v>10</v>
      </c>
      <c r="D358" s="2">
        <v>1901</v>
      </c>
      <c r="E358" s="1">
        <v>43983</v>
      </c>
      <c r="F358">
        <v>1</v>
      </c>
      <c r="G358">
        <v>6</v>
      </c>
      <c r="H358">
        <v>2020</v>
      </c>
      <c r="I358" s="5">
        <f>(Table32[[#This Row],[Revenue]]/Table32[[#This Row],[Units Sold]])</f>
        <v>5</v>
      </c>
      <c r="J358" s="5">
        <f>Table32[[#This Row],[revenue/unit]]-Table32[[#This Row],[Cost/unit]]</f>
        <v>3</v>
      </c>
      <c r="K358">
        <f>Table32[[#This Row],[Revenue]]-Table32[[#This Row],[Cost]]</f>
        <v>5703</v>
      </c>
      <c r="L358" s="6">
        <f>Table32[[#This Row],[Net Profit]]/Table32[[#This Row],[Cost]]</f>
        <v>1.5</v>
      </c>
      <c r="M358">
        <v>9505</v>
      </c>
      <c r="N358" s="7">
        <f>Table32[[#This Row],[Cost]]/Table32[[#This Row],[Units Sold]]</f>
        <v>2</v>
      </c>
      <c r="O358">
        <v>3802</v>
      </c>
      <c r="T358" s="1"/>
    </row>
    <row r="359" spans="1:20">
      <c r="A359">
        <v>3</v>
      </c>
      <c r="B359">
        <v>578401</v>
      </c>
      <c r="C359" t="s">
        <v>10</v>
      </c>
      <c r="D359" s="2">
        <v>689</v>
      </c>
      <c r="E359" s="1">
        <v>43983</v>
      </c>
      <c r="F359">
        <v>1</v>
      </c>
      <c r="G359">
        <v>6</v>
      </c>
      <c r="H359">
        <v>2020</v>
      </c>
      <c r="I359" s="5">
        <f>(Table32[[#This Row],[Revenue]]/Table32[[#This Row],[Units Sold]])</f>
        <v>5</v>
      </c>
      <c r="J359" s="5">
        <f>Table32[[#This Row],[revenue/unit]]-Table32[[#This Row],[Cost/unit]]</f>
        <v>3</v>
      </c>
      <c r="K359">
        <f>Table32[[#This Row],[Revenue]]-Table32[[#This Row],[Cost]]</f>
        <v>2067</v>
      </c>
      <c r="L359" s="6">
        <f>Table32[[#This Row],[Net Profit]]/Table32[[#This Row],[Cost]]</f>
        <v>1.5</v>
      </c>
      <c r="M359">
        <v>3445</v>
      </c>
      <c r="N359" s="7">
        <f>Table32[[#This Row],[Cost]]/Table32[[#This Row],[Units Sold]]</f>
        <v>2</v>
      </c>
      <c r="O359">
        <v>1378</v>
      </c>
      <c r="T359" s="1"/>
    </row>
    <row r="360" spans="1:20">
      <c r="A360">
        <v>3</v>
      </c>
      <c r="B360">
        <v>365552</v>
      </c>
      <c r="C360" t="s">
        <v>10</v>
      </c>
      <c r="D360" s="2">
        <v>1570</v>
      </c>
      <c r="E360" s="1">
        <v>43983</v>
      </c>
      <c r="F360">
        <v>1</v>
      </c>
      <c r="G360">
        <v>6</v>
      </c>
      <c r="H360">
        <v>2020</v>
      </c>
      <c r="I360" s="5">
        <f>(Table32[[#This Row],[Revenue]]/Table32[[#This Row],[Units Sold]])</f>
        <v>5</v>
      </c>
      <c r="J360" s="5">
        <f>Table32[[#This Row],[revenue/unit]]-Table32[[#This Row],[Cost/unit]]</f>
        <v>3</v>
      </c>
      <c r="K360">
        <f>Table32[[#This Row],[Revenue]]-Table32[[#This Row],[Cost]]</f>
        <v>4710</v>
      </c>
      <c r="L360" s="6">
        <f>Table32[[#This Row],[Net Profit]]/Table32[[#This Row],[Cost]]</f>
        <v>1.5</v>
      </c>
      <c r="M360">
        <v>7850</v>
      </c>
      <c r="N360" s="7">
        <f>Table32[[#This Row],[Cost]]/Table32[[#This Row],[Units Sold]]</f>
        <v>2</v>
      </c>
      <c r="O360">
        <v>3140</v>
      </c>
      <c r="T360" s="1"/>
    </row>
    <row r="361" spans="1:20">
      <c r="A361">
        <v>4</v>
      </c>
      <c r="B361">
        <v>560581</v>
      </c>
      <c r="C361" t="s">
        <v>10</v>
      </c>
      <c r="D361" s="2">
        <v>991</v>
      </c>
      <c r="E361" s="1">
        <v>43983</v>
      </c>
      <c r="F361">
        <v>1</v>
      </c>
      <c r="G361">
        <v>6</v>
      </c>
      <c r="H361">
        <v>2020</v>
      </c>
      <c r="I361" s="5">
        <f>(Table32[[#This Row],[Revenue]]/Table32[[#This Row],[Units Sold]])</f>
        <v>5</v>
      </c>
      <c r="J361" s="5">
        <f>Table32[[#This Row],[revenue/unit]]-Table32[[#This Row],[Cost/unit]]</f>
        <v>3</v>
      </c>
      <c r="K361">
        <f>Table32[[#This Row],[Revenue]]-Table32[[#This Row],[Cost]]</f>
        <v>2973</v>
      </c>
      <c r="L361" s="6">
        <f>Table32[[#This Row],[Net Profit]]/Table32[[#This Row],[Cost]]</f>
        <v>1.5</v>
      </c>
      <c r="M361">
        <v>4955</v>
      </c>
      <c r="N361" s="7">
        <f>Table32[[#This Row],[Cost]]/Table32[[#This Row],[Units Sold]]</f>
        <v>2</v>
      </c>
      <c r="O361">
        <v>1982</v>
      </c>
      <c r="T361" s="1"/>
    </row>
    <row r="362" spans="1:20">
      <c r="A362">
        <v>2</v>
      </c>
      <c r="B362">
        <v>369627</v>
      </c>
      <c r="C362" t="s">
        <v>10</v>
      </c>
      <c r="D362" s="2">
        <v>602</v>
      </c>
      <c r="E362" s="1">
        <v>43983</v>
      </c>
      <c r="F362">
        <v>1</v>
      </c>
      <c r="G362">
        <v>6</v>
      </c>
      <c r="H362">
        <v>2020</v>
      </c>
      <c r="I362" s="5">
        <f>(Table32[[#This Row],[Revenue]]/Table32[[#This Row],[Units Sold]])</f>
        <v>5</v>
      </c>
      <c r="J362" s="5">
        <f>Table32[[#This Row],[revenue/unit]]-Table32[[#This Row],[Cost/unit]]</f>
        <v>3</v>
      </c>
      <c r="K362">
        <f>Table32[[#This Row],[Revenue]]-Table32[[#This Row],[Cost]]</f>
        <v>1806</v>
      </c>
      <c r="L362" s="6">
        <f>Table32[[#This Row],[Net Profit]]/Table32[[#This Row],[Cost]]</f>
        <v>1.5</v>
      </c>
      <c r="M362">
        <v>3010</v>
      </c>
      <c r="N362" s="7">
        <f>Table32[[#This Row],[Cost]]/Table32[[#This Row],[Units Sold]]</f>
        <v>2</v>
      </c>
      <c r="O362">
        <v>1204</v>
      </c>
      <c r="T362" s="1"/>
    </row>
    <row r="363" spans="1:20">
      <c r="A363">
        <v>3</v>
      </c>
      <c r="B363">
        <v>568366</v>
      </c>
      <c r="C363" t="s">
        <v>10</v>
      </c>
      <c r="D363" s="2">
        <v>1496</v>
      </c>
      <c r="E363" s="1">
        <v>43983</v>
      </c>
      <c r="F363">
        <v>1</v>
      </c>
      <c r="G363">
        <v>6</v>
      </c>
      <c r="H363">
        <v>2020</v>
      </c>
      <c r="I363" s="5">
        <f>(Table32[[#This Row],[Revenue]]/Table32[[#This Row],[Units Sold]])</f>
        <v>5</v>
      </c>
      <c r="J363" s="5">
        <f>Table32[[#This Row],[revenue/unit]]-Table32[[#This Row],[Cost/unit]]</f>
        <v>3</v>
      </c>
      <c r="K363">
        <f>Table32[[#This Row],[Revenue]]-Table32[[#This Row],[Cost]]</f>
        <v>4488</v>
      </c>
      <c r="L363" s="6">
        <f>Table32[[#This Row],[Net Profit]]/Table32[[#This Row],[Cost]]</f>
        <v>1.5</v>
      </c>
      <c r="M363">
        <v>7480</v>
      </c>
      <c r="N363" s="7">
        <f>Table32[[#This Row],[Cost]]/Table32[[#This Row],[Units Sold]]</f>
        <v>2</v>
      </c>
      <c r="O363">
        <v>2992</v>
      </c>
      <c r="T363" s="1"/>
    </row>
    <row r="364" spans="1:20">
      <c r="A364">
        <v>1</v>
      </c>
      <c r="B364">
        <v>807061</v>
      </c>
      <c r="C364" t="s">
        <v>10</v>
      </c>
      <c r="D364" s="2">
        <v>448</v>
      </c>
      <c r="E364" s="1">
        <v>43983</v>
      </c>
      <c r="F364">
        <v>1</v>
      </c>
      <c r="G364">
        <v>6</v>
      </c>
      <c r="H364">
        <v>2020</v>
      </c>
      <c r="I364" s="5">
        <f>(Table32[[#This Row],[Revenue]]/Table32[[#This Row],[Units Sold]])</f>
        <v>5</v>
      </c>
      <c r="J364" s="5">
        <f>Table32[[#This Row],[revenue/unit]]-Table32[[#This Row],[Cost/unit]]</f>
        <v>3</v>
      </c>
      <c r="K364">
        <f>Table32[[#This Row],[Revenue]]-Table32[[#This Row],[Cost]]</f>
        <v>1344</v>
      </c>
      <c r="L364" s="6">
        <f>Table32[[#This Row],[Net Profit]]/Table32[[#This Row],[Cost]]</f>
        <v>1.5</v>
      </c>
      <c r="M364">
        <v>2240</v>
      </c>
      <c r="N364" s="7">
        <f>Table32[[#This Row],[Cost]]/Table32[[#This Row],[Units Sold]]</f>
        <v>2</v>
      </c>
      <c r="O364">
        <v>896</v>
      </c>
      <c r="T364" s="1"/>
    </row>
    <row r="365" spans="1:20">
      <c r="A365">
        <v>3</v>
      </c>
      <c r="B365">
        <v>418690</v>
      </c>
      <c r="C365" t="s">
        <v>10</v>
      </c>
      <c r="D365" s="2">
        <v>1366</v>
      </c>
      <c r="E365" s="1">
        <v>43983</v>
      </c>
      <c r="F365">
        <v>1</v>
      </c>
      <c r="G365">
        <v>6</v>
      </c>
      <c r="H365">
        <v>2020</v>
      </c>
      <c r="I365" s="5">
        <f>(Table32[[#This Row],[Revenue]]/Table32[[#This Row],[Units Sold]])</f>
        <v>5</v>
      </c>
      <c r="J365" s="5">
        <f>Table32[[#This Row],[revenue/unit]]-Table32[[#This Row],[Cost/unit]]</f>
        <v>3</v>
      </c>
      <c r="K365">
        <f>Table32[[#This Row],[Revenue]]-Table32[[#This Row],[Cost]]</f>
        <v>4098</v>
      </c>
      <c r="L365" s="6">
        <f>Table32[[#This Row],[Net Profit]]/Table32[[#This Row],[Cost]]</f>
        <v>1.5</v>
      </c>
      <c r="M365">
        <v>6830</v>
      </c>
      <c r="N365" s="7">
        <f>Table32[[#This Row],[Cost]]/Table32[[#This Row],[Units Sold]]</f>
        <v>2</v>
      </c>
      <c r="O365">
        <v>2732</v>
      </c>
      <c r="T365" s="1"/>
    </row>
    <row r="366" spans="1:20">
      <c r="A366">
        <v>3</v>
      </c>
      <c r="B366">
        <v>496123</v>
      </c>
      <c r="C366" t="s">
        <v>10</v>
      </c>
      <c r="D366" s="2">
        <v>2460</v>
      </c>
      <c r="E366" s="1">
        <v>43983</v>
      </c>
      <c r="F366">
        <v>1</v>
      </c>
      <c r="G366">
        <v>6</v>
      </c>
      <c r="H366">
        <v>2020</v>
      </c>
      <c r="I366" s="5">
        <f>(Table32[[#This Row],[Revenue]]/Table32[[#This Row],[Units Sold]])</f>
        <v>5</v>
      </c>
      <c r="J366" s="5">
        <f>Table32[[#This Row],[revenue/unit]]-Table32[[#This Row],[Cost/unit]]</f>
        <v>3</v>
      </c>
      <c r="K366">
        <f>Table32[[#This Row],[Revenue]]-Table32[[#This Row],[Cost]]</f>
        <v>7380</v>
      </c>
      <c r="L366" s="6">
        <f>Table32[[#This Row],[Net Profit]]/Table32[[#This Row],[Cost]]</f>
        <v>1.5</v>
      </c>
      <c r="M366">
        <v>12300</v>
      </c>
      <c r="N366" s="7">
        <f>Table32[[#This Row],[Cost]]/Table32[[#This Row],[Units Sold]]</f>
        <v>2</v>
      </c>
      <c r="O366">
        <v>4920</v>
      </c>
      <c r="T366" s="1"/>
    </row>
    <row r="367" spans="1:20">
      <c r="A367">
        <v>5</v>
      </c>
      <c r="B367">
        <v>529578</v>
      </c>
      <c r="C367" t="s">
        <v>10</v>
      </c>
      <c r="D367" s="2">
        <v>1094</v>
      </c>
      <c r="E367" s="1">
        <v>43983</v>
      </c>
      <c r="F367">
        <v>1</v>
      </c>
      <c r="G367">
        <v>6</v>
      </c>
      <c r="H367">
        <v>2020</v>
      </c>
      <c r="I367" s="5">
        <f>(Table32[[#This Row],[Revenue]]/Table32[[#This Row],[Units Sold]])</f>
        <v>5</v>
      </c>
      <c r="J367" s="5">
        <f>Table32[[#This Row],[revenue/unit]]-Table32[[#This Row],[Cost/unit]]</f>
        <v>3</v>
      </c>
      <c r="K367">
        <f>Table32[[#This Row],[Revenue]]-Table32[[#This Row],[Cost]]</f>
        <v>3282</v>
      </c>
      <c r="L367" s="6">
        <f>Table32[[#This Row],[Net Profit]]/Table32[[#This Row],[Cost]]</f>
        <v>1.5</v>
      </c>
      <c r="M367">
        <v>5470</v>
      </c>
      <c r="N367" s="7">
        <f>Table32[[#This Row],[Cost]]/Table32[[#This Row],[Units Sold]]</f>
        <v>2</v>
      </c>
      <c r="O367">
        <v>2188</v>
      </c>
      <c r="T367" s="1"/>
    </row>
    <row r="368" spans="1:20">
      <c r="A368">
        <v>4</v>
      </c>
      <c r="B368">
        <v>429472</v>
      </c>
      <c r="C368" t="s">
        <v>10</v>
      </c>
      <c r="D368" s="2">
        <v>1038</v>
      </c>
      <c r="E368" s="1">
        <v>43983</v>
      </c>
      <c r="F368">
        <v>1</v>
      </c>
      <c r="G368">
        <v>6</v>
      </c>
      <c r="H368">
        <v>2020</v>
      </c>
      <c r="I368" s="5">
        <f>(Table32[[#This Row],[Revenue]]/Table32[[#This Row],[Units Sold]])</f>
        <v>5</v>
      </c>
      <c r="J368" s="5">
        <f>Table32[[#This Row],[revenue/unit]]-Table32[[#This Row],[Cost/unit]]</f>
        <v>3</v>
      </c>
      <c r="K368">
        <f>Table32[[#This Row],[Revenue]]-Table32[[#This Row],[Cost]]</f>
        <v>3114</v>
      </c>
      <c r="L368" s="6">
        <f>Table32[[#This Row],[Net Profit]]/Table32[[#This Row],[Cost]]</f>
        <v>1.5</v>
      </c>
      <c r="M368">
        <v>5190</v>
      </c>
      <c r="N368" s="7">
        <f>Table32[[#This Row],[Cost]]/Table32[[#This Row],[Units Sold]]</f>
        <v>2</v>
      </c>
      <c r="O368">
        <v>2076</v>
      </c>
      <c r="T368" s="1"/>
    </row>
    <row r="369" spans="1:20">
      <c r="A369">
        <v>5</v>
      </c>
      <c r="B369">
        <v>249663</v>
      </c>
      <c r="C369" t="s">
        <v>10</v>
      </c>
      <c r="D369" s="2">
        <v>886</v>
      </c>
      <c r="E369" s="1">
        <v>43983</v>
      </c>
      <c r="F369">
        <v>1</v>
      </c>
      <c r="G369">
        <v>6</v>
      </c>
      <c r="H369">
        <v>2020</v>
      </c>
      <c r="I369" s="5">
        <f>(Table32[[#This Row],[Revenue]]/Table32[[#This Row],[Units Sold]])</f>
        <v>5</v>
      </c>
      <c r="J369" s="5">
        <f>Table32[[#This Row],[revenue/unit]]-Table32[[#This Row],[Cost/unit]]</f>
        <v>3</v>
      </c>
      <c r="K369">
        <f>Table32[[#This Row],[Revenue]]-Table32[[#This Row],[Cost]]</f>
        <v>2658</v>
      </c>
      <c r="L369" s="6">
        <f>Table32[[#This Row],[Net Profit]]/Table32[[#This Row],[Cost]]</f>
        <v>1.5</v>
      </c>
      <c r="M369">
        <v>4430</v>
      </c>
      <c r="N369" s="7">
        <f>Table32[[#This Row],[Cost]]/Table32[[#This Row],[Units Sold]]</f>
        <v>2</v>
      </c>
      <c r="O369">
        <v>1772</v>
      </c>
      <c r="T369" s="1"/>
    </row>
    <row r="370" spans="1:20">
      <c r="A370">
        <v>2</v>
      </c>
      <c r="B370">
        <v>123693</v>
      </c>
      <c r="C370" t="s">
        <v>10</v>
      </c>
      <c r="D370" s="2">
        <v>2632</v>
      </c>
      <c r="E370" s="1">
        <v>43983</v>
      </c>
      <c r="F370">
        <v>1</v>
      </c>
      <c r="G370">
        <v>6</v>
      </c>
      <c r="H370">
        <v>2020</v>
      </c>
      <c r="I370" s="5">
        <f>(Table32[[#This Row],[Revenue]]/Table32[[#This Row],[Units Sold]])</f>
        <v>5</v>
      </c>
      <c r="J370" s="5">
        <f>Table32[[#This Row],[revenue/unit]]-Table32[[#This Row],[Cost/unit]]</f>
        <v>3</v>
      </c>
      <c r="K370">
        <f>Table32[[#This Row],[Revenue]]-Table32[[#This Row],[Cost]]</f>
        <v>7896</v>
      </c>
      <c r="L370" s="6">
        <f>Table32[[#This Row],[Net Profit]]/Table32[[#This Row],[Cost]]</f>
        <v>1.5</v>
      </c>
      <c r="M370">
        <v>13160</v>
      </c>
      <c r="N370" s="7">
        <f>Table32[[#This Row],[Cost]]/Table32[[#This Row],[Units Sold]]</f>
        <v>2</v>
      </c>
      <c r="O370">
        <v>5264</v>
      </c>
      <c r="T370" s="1"/>
    </row>
    <row r="371" spans="1:20">
      <c r="A371">
        <v>4</v>
      </c>
      <c r="B371">
        <v>670662</v>
      </c>
      <c r="C371" t="s">
        <v>10</v>
      </c>
      <c r="D371" s="2">
        <v>1583</v>
      </c>
      <c r="E371" s="1">
        <v>43983</v>
      </c>
      <c r="F371">
        <v>1</v>
      </c>
      <c r="G371">
        <v>6</v>
      </c>
      <c r="H371">
        <v>2020</v>
      </c>
      <c r="I371" s="5">
        <f>(Table32[[#This Row],[Revenue]]/Table32[[#This Row],[Units Sold]])</f>
        <v>5</v>
      </c>
      <c r="J371" s="5">
        <f>Table32[[#This Row],[revenue/unit]]-Table32[[#This Row],[Cost/unit]]</f>
        <v>3</v>
      </c>
      <c r="K371">
        <f>Table32[[#This Row],[Revenue]]-Table32[[#This Row],[Cost]]</f>
        <v>4749</v>
      </c>
      <c r="L371" s="6">
        <f>Table32[[#This Row],[Net Profit]]/Table32[[#This Row],[Cost]]</f>
        <v>1.5</v>
      </c>
      <c r="M371">
        <v>7915</v>
      </c>
      <c r="N371" s="7">
        <f>Table32[[#This Row],[Cost]]/Table32[[#This Row],[Units Sold]]</f>
        <v>2</v>
      </c>
      <c r="O371">
        <v>3166</v>
      </c>
      <c r="T371" s="1"/>
    </row>
    <row r="372" spans="1:20">
      <c r="A372">
        <v>3</v>
      </c>
      <c r="B372">
        <v>830805</v>
      </c>
      <c r="C372" t="s">
        <v>11</v>
      </c>
      <c r="D372" s="2">
        <v>2518</v>
      </c>
      <c r="E372" s="1">
        <v>43983</v>
      </c>
      <c r="F372">
        <v>1</v>
      </c>
      <c r="G372">
        <v>6</v>
      </c>
      <c r="H372">
        <v>2020</v>
      </c>
      <c r="I372" s="5">
        <f>(Table32[[#This Row],[Revenue]]/Table32[[#This Row],[Units Sold]])</f>
        <v>1</v>
      </c>
      <c r="J372" s="5">
        <f>Table32[[#This Row],[revenue/unit]]-Table32[[#This Row],[Cost/unit]]</f>
        <v>0.5</v>
      </c>
      <c r="K372">
        <f>Table32[[#This Row],[Revenue]]-Table32[[#This Row],[Cost]]</f>
        <v>1259</v>
      </c>
      <c r="L372" s="6">
        <f>Table32[[#This Row],[Net Profit]]/Table32[[#This Row],[Cost]]</f>
        <v>1</v>
      </c>
      <c r="M372">
        <v>2518</v>
      </c>
      <c r="N372" s="7">
        <f>Table32[[#This Row],[Cost]]/Table32[[#This Row],[Units Sold]]</f>
        <v>0.5</v>
      </c>
      <c r="O372">
        <v>1259</v>
      </c>
      <c r="T372" s="1"/>
    </row>
    <row r="373" spans="1:20">
      <c r="A373">
        <v>5</v>
      </c>
      <c r="B373">
        <v>138739</v>
      </c>
      <c r="C373" t="s">
        <v>11</v>
      </c>
      <c r="D373" s="2">
        <v>1899</v>
      </c>
      <c r="E373" s="1">
        <v>43983</v>
      </c>
      <c r="F373">
        <v>1</v>
      </c>
      <c r="G373">
        <v>6</v>
      </c>
      <c r="H373">
        <v>2020</v>
      </c>
      <c r="I373" s="5">
        <f>(Table32[[#This Row],[Revenue]]/Table32[[#This Row],[Units Sold]])</f>
        <v>1</v>
      </c>
      <c r="J373" s="5">
        <f>Table32[[#This Row],[revenue/unit]]-Table32[[#This Row],[Cost/unit]]</f>
        <v>0.5</v>
      </c>
      <c r="K373">
        <f>Table32[[#This Row],[Revenue]]-Table32[[#This Row],[Cost]]</f>
        <v>949.5</v>
      </c>
      <c r="L373" s="6">
        <f>Table32[[#This Row],[Net Profit]]/Table32[[#This Row],[Cost]]</f>
        <v>1</v>
      </c>
      <c r="M373">
        <v>1899</v>
      </c>
      <c r="N373" s="7">
        <f>Table32[[#This Row],[Cost]]/Table32[[#This Row],[Units Sold]]</f>
        <v>0.5</v>
      </c>
      <c r="O373">
        <v>949.5</v>
      </c>
      <c r="T373" s="1"/>
    </row>
    <row r="374" spans="1:20">
      <c r="A374">
        <v>2</v>
      </c>
      <c r="B374">
        <v>830819</v>
      </c>
      <c r="C374" t="s">
        <v>11</v>
      </c>
      <c r="D374" s="2">
        <v>1545</v>
      </c>
      <c r="E374" s="1">
        <v>43983</v>
      </c>
      <c r="F374">
        <v>1</v>
      </c>
      <c r="G374">
        <v>6</v>
      </c>
      <c r="H374">
        <v>2020</v>
      </c>
      <c r="I374" s="5">
        <f>(Table32[[#This Row],[Revenue]]/Table32[[#This Row],[Units Sold]])</f>
        <v>1</v>
      </c>
      <c r="J374" s="5">
        <f>Table32[[#This Row],[revenue/unit]]-Table32[[#This Row],[Cost/unit]]</f>
        <v>0.5</v>
      </c>
      <c r="K374">
        <f>Table32[[#This Row],[Revenue]]-Table32[[#This Row],[Cost]]</f>
        <v>772.5</v>
      </c>
      <c r="L374" s="6">
        <f>Table32[[#This Row],[Net Profit]]/Table32[[#This Row],[Cost]]</f>
        <v>1</v>
      </c>
      <c r="M374">
        <v>1545</v>
      </c>
      <c r="N374" s="7">
        <f>Table32[[#This Row],[Cost]]/Table32[[#This Row],[Units Sold]]</f>
        <v>0.5</v>
      </c>
      <c r="O374">
        <v>772.5</v>
      </c>
      <c r="T374" s="1"/>
    </row>
    <row r="375" spans="1:20">
      <c r="A375">
        <v>4</v>
      </c>
      <c r="B375">
        <v>249098</v>
      </c>
      <c r="C375" t="s">
        <v>11</v>
      </c>
      <c r="D375" s="2">
        <v>2470</v>
      </c>
      <c r="E375" s="1">
        <v>43983</v>
      </c>
      <c r="F375">
        <v>1</v>
      </c>
      <c r="G375">
        <v>6</v>
      </c>
      <c r="H375">
        <v>2020</v>
      </c>
      <c r="I375" s="5">
        <f>(Table32[[#This Row],[Revenue]]/Table32[[#This Row],[Units Sold]])</f>
        <v>1</v>
      </c>
      <c r="J375" s="5">
        <f>Table32[[#This Row],[revenue/unit]]-Table32[[#This Row],[Cost/unit]]</f>
        <v>0.5</v>
      </c>
      <c r="K375">
        <f>Table32[[#This Row],[Revenue]]-Table32[[#This Row],[Cost]]</f>
        <v>1235</v>
      </c>
      <c r="L375" s="6">
        <f>Table32[[#This Row],[Net Profit]]/Table32[[#This Row],[Cost]]</f>
        <v>1</v>
      </c>
      <c r="M375">
        <v>2470</v>
      </c>
      <c r="N375" s="7">
        <f>Table32[[#This Row],[Cost]]/Table32[[#This Row],[Units Sold]]</f>
        <v>0.5</v>
      </c>
      <c r="O375">
        <v>1235</v>
      </c>
      <c r="T375" s="1"/>
    </row>
    <row r="376" spans="1:20">
      <c r="A376">
        <v>3</v>
      </c>
      <c r="B376">
        <v>652401</v>
      </c>
      <c r="C376" t="s">
        <v>11</v>
      </c>
      <c r="D376" s="2">
        <v>1142</v>
      </c>
      <c r="E376" s="1">
        <v>43983</v>
      </c>
      <c r="F376">
        <v>1</v>
      </c>
      <c r="G376">
        <v>6</v>
      </c>
      <c r="H376">
        <v>2020</v>
      </c>
      <c r="I376" s="5">
        <f>(Table32[[#This Row],[Revenue]]/Table32[[#This Row],[Units Sold]])</f>
        <v>1</v>
      </c>
      <c r="J376" s="5">
        <f>Table32[[#This Row],[revenue/unit]]-Table32[[#This Row],[Cost/unit]]</f>
        <v>0.5</v>
      </c>
      <c r="K376">
        <f>Table32[[#This Row],[Revenue]]-Table32[[#This Row],[Cost]]</f>
        <v>571</v>
      </c>
      <c r="L376" s="6">
        <f>Table32[[#This Row],[Net Profit]]/Table32[[#This Row],[Cost]]</f>
        <v>1</v>
      </c>
      <c r="M376">
        <v>1142</v>
      </c>
      <c r="N376" s="7">
        <f>Table32[[#This Row],[Cost]]/Table32[[#This Row],[Units Sold]]</f>
        <v>0.5</v>
      </c>
      <c r="O376">
        <v>571</v>
      </c>
      <c r="T376" s="1"/>
    </row>
    <row r="377" spans="1:20">
      <c r="A377">
        <v>2</v>
      </c>
      <c r="B377">
        <v>445507</v>
      </c>
      <c r="C377" t="s">
        <v>11</v>
      </c>
      <c r="D377" s="2">
        <v>1901</v>
      </c>
      <c r="E377" s="1">
        <v>43983</v>
      </c>
      <c r="F377">
        <v>1</v>
      </c>
      <c r="G377">
        <v>6</v>
      </c>
      <c r="H377">
        <v>2020</v>
      </c>
      <c r="I377" s="5">
        <f>(Table32[[#This Row],[Revenue]]/Table32[[#This Row],[Units Sold]])</f>
        <v>1</v>
      </c>
      <c r="J377" s="5">
        <f>Table32[[#This Row],[revenue/unit]]-Table32[[#This Row],[Cost/unit]]</f>
        <v>0.5</v>
      </c>
      <c r="K377">
        <f>Table32[[#This Row],[Revenue]]-Table32[[#This Row],[Cost]]</f>
        <v>950.5</v>
      </c>
      <c r="L377" s="6">
        <f>Table32[[#This Row],[Net Profit]]/Table32[[#This Row],[Cost]]</f>
        <v>1</v>
      </c>
      <c r="M377">
        <v>1901</v>
      </c>
      <c r="N377" s="7">
        <f>Table32[[#This Row],[Cost]]/Table32[[#This Row],[Units Sold]]</f>
        <v>0.5</v>
      </c>
      <c r="O377">
        <v>950.5</v>
      </c>
      <c r="T377" s="1"/>
    </row>
    <row r="378" spans="1:20">
      <c r="A378">
        <v>1</v>
      </c>
      <c r="B378">
        <v>173001</v>
      </c>
      <c r="C378" t="s">
        <v>11</v>
      </c>
      <c r="D378" s="2">
        <v>1282</v>
      </c>
      <c r="E378" s="1">
        <v>43983</v>
      </c>
      <c r="F378">
        <v>1</v>
      </c>
      <c r="G378">
        <v>6</v>
      </c>
      <c r="H378">
        <v>2020</v>
      </c>
      <c r="I378" s="5">
        <f>(Table32[[#This Row],[Revenue]]/Table32[[#This Row],[Units Sold]])</f>
        <v>1</v>
      </c>
      <c r="J378" s="5">
        <f>Table32[[#This Row],[revenue/unit]]-Table32[[#This Row],[Cost/unit]]</f>
        <v>0.5</v>
      </c>
      <c r="K378">
        <f>Table32[[#This Row],[Revenue]]-Table32[[#This Row],[Cost]]</f>
        <v>641</v>
      </c>
      <c r="L378" s="6">
        <f>Table32[[#This Row],[Net Profit]]/Table32[[#This Row],[Cost]]</f>
        <v>1</v>
      </c>
      <c r="M378">
        <v>1282</v>
      </c>
      <c r="N378" s="7">
        <f>Table32[[#This Row],[Cost]]/Table32[[#This Row],[Units Sold]]</f>
        <v>0.5</v>
      </c>
      <c r="O378">
        <v>641</v>
      </c>
      <c r="T378" s="1"/>
    </row>
    <row r="379" spans="1:20">
      <c r="A379">
        <v>5</v>
      </c>
      <c r="B379">
        <v>123331</v>
      </c>
      <c r="C379" t="s">
        <v>11</v>
      </c>
      <c r="D379" s="2">
        <v>708</v>
      </c>
      <c r="E379" s="1">
        <v>43983</v>
      </c>
      <c r="F379">
        <v>1</v>
      </c>
      <c r="G379">
        <v>6</v>
      </c>
      <c r="H379">
        <v>2020</v>
      </c>
      <c r="I379" s="5">
        <f>(Table32[[#This Row],[Revenue]]/Table32[[#This Row],[Units Sold]])</f>
        <v>1</v>
      </c>
      <c r="J379" s="5">
        <f>Table32[[#This Row],[revenue/unit]]-Table32[[#This Row],[Cost/unit]]</f>
        <v>0.5</v>
      </c>
      <c r="K379">
        <f>Table32[[#This Row],[Revenue]]-Table32[[#This Row],[Cost]]</f>
        <v>354</v>
      </c>
      <c r="L379" s="6">
        <f>Table32[[#This Row],[Net Profit]]/Table32[[#This Row],[Cost]]</f>
        <v>1</v>
      </c>
      <c r="M379">
        <v>708</v>
      </c>
      <c r="N379" s="7">
        <f>Table32[[#This Row],[Cost]]/Table32[[#This Row],[Units Sold]]</f>
        <v>0.5</v>
      </c>
      <c r="O379">
        <v>354</v>
      </c>
      <c r="T379" s="1"/>
    </row>
    <row r="380" spans="1:20">
      <c r="A380">
        <v>5</v>
      </c>
      <c r="B380">
        <v>280321</v>
      </c>
      <c r="C380" t="s">
        <v>11</v>
      </c>
      <c r="D380" s="2">
        <v>604</v>
      </c>
      <c r="E380" s="1">
        <v>43983</v>
      </c>
      <c r="F380">
        <v>1</v>
      </c>
      <c r="G380">
        <v>6</v>
      </c>
      <c r="H380">
        <v>2020</v>
      </c>
      <c r="I380" s="5">
        <f>(Table32[[#This Row],[Revenue]]/Table32[[#This Row],[Units Sold]])</f>
        <v>1</v>
      </c>
      <c r="J380" s="5">
        <f>Table32[[#This Row],[revenue/unit]]-Table32[[#This Row],[Cost/unit]]</f>
        <v>0.5</v>
      </c>
      <c r="K380">
        <f>Table32[[#This Row],[Revenue]]-Table32[[#This Row],[Cost]]</f>
        <v>302</v>
      </c>
      <c r="L380" s="6">
        <f>Table32[[#This Row],[Net Profit]]/Table32[[#This Row],[Cost]]</f>
        <v>1</v>
      </c>
      <c r="M380">
        <v>604</v>
      </c>
      <c r="N380" s="7">
        <f>Table32[[#This Row],[Cost]]/Table32[[#This Row],[Units Sold]]</f>
        <v>0.5</v>
      </c>
      <c r="O380">
        <v>302</v>
      </c>
      <c r="T380" s="1"/>
    </row>
    <row r="381" spans="1:20">
      <c r="A381">
        <v>3</v>
      </c>
      <c r="B381">
        <v>609228</v>
      </c>
      <c r="C381" t="s">
        <v>12</v>
      </c>
      <c r="D381" s="2">
        <v>1899</v>
      </c>
      <c r="E381" s="1">
        <v>43983</v>
      </c>
      <c r="F381">
        <v>1</v>
      </c>
      <c r="G381">
        <v>6</v>
      </c>
      <c r="H381">
        <v>2020</v>
      </c>
      <c r="I381" s="5">
        <f>(Table32[[#This Row],[Revenue]]/Table32[[#This Row],[Units Sold]])</f>
        <v>5</v>
      </c>
      <c r="J381" s="5">
        <f>Table32[[#This Row],[revenue/unit]]-Table32[[#This Row],[Cost/unit]]</f>
        <v>2.8</v>
      </c>
      <c r="K381">
        <f>Table32[[#This Row],[Revenue]]-Table32[[#This Row],[Cost]]</f>
        <v>5317.2</v>
      </c>
      <c r="L381" s="6">
        <f>Table32[[#This Row],[Net Profit]]/Table32[[#This Row],[Cost]]</f>
        <v>1.2727272727272727</v>
      </c>
      <c r="M381">
        <v>9495</v>
      </c>
      <c r="N381" s="7">
        <f>Table32[[#This Row],[Cost]]/Table32[[#This Row],[Units Sold]]</f>
        <v>2.2000000000000002</v>
      </c>
      <c r="O381">
        <v>4177.8</v>
      </c>
      <c r="T381" s="1"/>
    </row>
    <row r="382" spans="1:20">
      <c r="A382">
        <v>5</v>
      </c>
      <c r="B382">
        <v>691342</v>
      </c>
      <c r="C382" t="s">
        <v>12</v>
      </c>
      <c r="D382" s="2">
        <v>1135</v>
      </c>
      <c r="E382" s="1">
        <v>43983</v>
      </c>
      <c r="F382">
        <v>1</v>
      </c>
      <c r="G382">
        <v>6</v>
      </c>
      <c r="H382">
        <v>2020</v>
      </c>
      <c r="I382" s="5">
        <f>(Table32[[#This Row],[Revenue]]/Table32[[#This Row],[Units Sold]])</f>
        <v>5</v>
      </c>
      <c r="J382" s="5">
        <f>Table32[[#This Row],[revenue/unit]]-Table32[[#This Row],[Cost/unit]]</f>
        <v>2.8</v>
      </c>
      <c r="K382">
        <f>Table32[[#This Row],[Revenue]]-Table32[[#This Row],[Cost]]</f>
        <v>3178</v>
      </c>
      <c r="L382" s="6">
        <f>Table32[[#This Row],[Net Profit]]/Table32[[#This Row],[Cost]]</f>
        <v>1.2727272727272727</v>
      </c>
      <c r="M382">
        <v>5675</v>
      </c>
      <c r="N382" s="7">
        <f>Table32[[#This Row],[Cost]]/Table32[[#This Row],[Units Sold]]</f>
        <v>2.2000000000000002</v>
      </c>
      <c r="O382">
        <v>2497</v>
      </c>
      <c r="T382" s="1"/>
    </row>
    <row r="383" spans="1:20">
      <c r="A383">
        <v>3</v>
      </c>
      <c r="B383">
        <v>786700</v>
      </c>
      <c r="C383" t="s">
        <v>12</v>
      </c>
      <c r="D383" s="2">
        <v>1282</v>
      </c>
      <c r="E383" s="1">
        <v>43983</v>
      </c>
      <c r="F383">
        <v>1</v>
      </c>
      <c r="G383">
        <v>6</v>
      </c>
      <c r="H383">
        <v>2020</v>
      </c>
      <c r="I383" s="5">
        <f>(Table32[[#This Row],[Revenue]]/Table32[[#This Row],[Units Sold]])</f>
        <v>5</v>
      </c>
      <c r="J383" s="5">
        <f>Table32[[#This Row],[revenue/unit]]-Table32[[#This Row],[Cost/unit]]</f>
        <v>2.8</v>
      </c>
      <c r="K383">
        <f>Table32[[#This Row],[Revenue]]-Table32[[#This Row],[Cost]]</f>
        <v>3589.6</v>
      </c>
      <c r="L383" s="6">
        <f>Table32[[#This Row],[Net Profit]]/Table32[[#This Row],[Cost]]</f>
        <v>1.2727272727272727</v>
      </c>
      <c r="M383">
        <v>6410</v>
      </c>
      <c r="N383" s="7">
        <f>Table32[[#This Row],[Cost]]/Table32[[#This Row],[Units Sold]]</f>
        <v>2.2000000000000002</v>
      </c>
      <c r="O383">
        <v>2820.4</v>
      </c>
      <c r="T383" s="1"/>
    </row>
    <row r="384" spans="1:20">
      <c r="A384">
        <v>4</v>
      </c>
      <c r="B384">
        <v>137921</v>
      </c>
      <c r="C384" t="s">
        <v>12</v>
      </c>
      <c r="D384" s="2">
        <v>708</v>
      </c>
      <c r="E384" s="1">
        <v>43983</v>
      </c>
      <c r="F384">
        <v>1</v>
      </c>
      <c r="G384">
        <v>6</v>
      </c>
      <c r="H384">
        <v>2020</v>
      </c>
      <c r="I384" s="5">
        <f>(Table32[[#This Row],[Revenue]]/Table32[[#This Row],[Units Sold]])</f>
        <v>5</v>
      </c>
      <c r="J384" s="5">
        <f>Table32[[#This Row],[revenue/unit]]-Table32[[#This Row],[Cost/unit]]</f>
        <v>2.8</v>
      </c>
      <c r="K384">
        <f>Table32[[#This Row],[Revenue]]-Table32[[#This Row],[Cost]]</f>
        <v>1982.3999999999999</v>
      </c>
      <c r="L384" s="6">
        <f>Table32[[#This Row],[Net Profit]]/Table32[[#This Row],[Cost]]</f>
        <v>1.2727272727272725</v>
      </c>
      <c r="M384">
        <v>3540</v>
      </c>
      <c r="N384" s="7">
        <f>Table32[[#This Row],[Cost]]/Table32[[#This Row],[Units Sold]]</f>
        <v>2.2000000000000002</v>
      </c>
      <c r="O384">
        <v>1557.6000000000001</v>
      </c>
      <c r="T384" s="1"/>
    </row>
    <row r="385" spans="1:20">
      <c r="A385">
        <v>3</v>
      </c>
      <c r="B385">
        <v>755930</v>
      </c>
      <c r="C385" t="s">
        <v>12</v>
      </c>
      <c r="D385" s="2">
        <v>2907</v>
      </c>
      <c r="E385" s="1">
        <v>43983</v>
      </c>
      <c r="F385">
        <v>1</v>
      </c>
      <c r="G385">
        <v>6</v>
      </c>
      <c r="H385">
        <v>2020</v>
      </c>
      <c r="I385" s="5">
        <f>(Table32[[#This Row],[Revenue]]/Table32[[#This Row],[Units Sold]])</f>
        <v>5</v>
      </c>
      <c r="J385" s="5">
        <f>Table32[[#This Row],[revenue/unit]]-Table32[[#This Row],[Cost/unit]]</f>
        <v>2.8</v>
      </c>
      <c r="K385">
        <f>Table32[[#This Row],[Revenue]]-Table32[[#This Row],[Cost]]</f>
        <v>8139.5999999999995</v>
      </c>
      <c r="L385" s="6">
        <f>Table32[[#This Row],[Net Profit]]/Table32[[#This Row],[Cost]]</f>
        <v>1.2727272727272725</v>
      </c>
      <c r="M385">
        <v>14535</v>
      </c>
      <c r="N385" s="7">
        <f>Table32[[#This Row],[Cost]]/Table32[[#This Row],[Units Sold]]</f>
        <v>2.2000000000000002</v>
      </c>
      <c r="O385">
        <v>6395.4000000000005</v>
      </c>
      <c r="T385" s="1"/>
    </row>
    <row r="386" spans="1:20">
      <c r="A386">
        <v>3</v>
      </c>
      <c r="B386">
        <v>277131</v>
      </c>
      <c r="C386" t="s">
        <v>12</v>
      </c>
      <c r="D386" s="2">
        <v>1366</v>
      </c>
      <c r="E386" s="1">
        <v>43983</v>
      </c>
      <c r="F386">
        <v>1</v>
      </c>
      <c r="G386">
        <v>6</v>
      </c>
      <c r="H386">
        <v>2020</v>
      </c>
      <c r="I386" s="5">
        <f>(Table32[[#This Row],[Revenue]]/Table32[[#This Row],[Units Sold]])</f>
        <v>5</v>
      </c>
      <c r="J386" s="5">
        <f>Table32[[#This Row],[revenue/unit]]-Table32[[#This Row],[Cost/unit]]</f>
        <v>2.8</v>
      </c>
      <c r="K386">
        <f>Table32[[#This Row],[Revenue]]-Table32[[#This Row],[Cost]]</f>
        <v>3824.7999999999997</v>
      </c>
      <c r="L386" s="6">
        <f>Table32[[#This Row],[Net Profit]]/Table32[[#This Row],[Cost]]</f>
        <v>1.2727272727272725</v>
      </c>
      <c r="M386">
        <v>6830</v>
      </c>
      <c r="N386" s="7">
        <f>Table32[[#This Row],[Cost]]/Table32[[#This Row],[Units Sold]]</f>
        <v>2.2000000000000002</v>
      </c>
      <c r="O386">
        <v>3005.2000000000003</v>
      </c>
      <c r="T386" s="1"/>
    </row>
    <row r="387" spans="1:20">
      <c r="A387">
        <v>3</v>
      </c>
      <c r="B387">
        <v>235897</v>
      </c>
      <c r="C387" t="s">
        <v>12</v>
      </c>
      <c r="D387" s="2">
        <v>2460</v>
      </c>
      <c r="E387" s="1">
        <v>43983</v>
      </c>
      <c r="F387">
        <v>1</v>
      </c>
      <c r="G387">
        <v>6</v>
      </c>
      <c r="H387">
        <v>2020</v>
      </c>
      <c r="I387" s="5">
        <f>(Table32[[#This Row],[Revenue]]/Table32[[#This Row],[Units Sold]])</f>
        <v>5</v>
      </c>
      <c r="J387" s="5">
        <f>Table32[[#This Row],[revenue/unit]]-Table32[[#This Row],[Cost/unit]]</f>
        <v>2.8</v>
      </c>
      <c r="K387">
        <f>Table32[[#This Row],[Revenue]]-Table32[[#This Row],[Cost]]</f>
        <v>6888</v>
      </c>
      <c r="L387" s="6">
        <f>Table32[[#This Row],[Net Profit]]/Table32[[#This Row],[Cost]]</f>
        <v>1.2727272727272727</v>
      </c>
      <c r="M387">
        <v>12300</v>
      </c>
      <c r="N387" s="7">
        <f>Table32[[#This Row],[Cost]]/Table32[[#This Row],[Units Sold]]</f>
        <v>2.2000000000000002</v>
      </c>
      <c r="O387">
        <v>5412</v>
      </c>
      <c r="T387" s="1"/>
    </row>
    <row r="388" spans="1:20">
      <c r="A388">
        <v>3</v>
      </c>
      <c r="B388">
        <v>842675</v>
      </c>
      <c r="C388" t="s">
        <v>12</v>
      </c>
      <c r="D388" s="2">
        <v>1038</v>
      </c>
      <c r="E388" s="1">
        <v>43983</v>
      </c>
      <c r="F388">
        <v>1</v>
      </c>
      <c r="G388">
        <v>6</v>
      </c>
      <c r="H388">
        <v>2020</v>
      </c>
      <c r="I388" s="5">
        <f>(Table32[[#This Row],[Revenue]]/Table32[[#This Row],[Units Sold]])</f>
        <v>5</v>
      </c>
      <c r="J388" s="5">
        <f>Table32[[#This Row],[revenue/unit]]-Table32[[#This Row],[Cost/unit]]</f>
        <v>2.8</v>
      </c>
      <c r="K388">
        <f>Table32[[#This Row],[Revenue]]-Table32[[#This Row],[Cost]]</f>
        <v>2906.3999999999996</v>
      </c>
      <c r="L388" s="6">
        <f>Table32[[#This Row],[Net Profit]]/Table32[[#This Row],[Cost]]</f>
        <v>1.2727272727272723</v>
      </c>
      <c r="M388">
        <v>5190</v>
      </c>
      <c r="N388" s="7">
        <f>Table32[[#This Row],[Cost]]/Table32[[#This Row],[Units Sold]]</f>
        <v>2.2000000000000002</v>
      </c>
      <c r="O388">
        <v>2283.6000000000004</v>
      </c>
      <c r="T388" s="1"/>
    </row>
    <row r="389" spans="1:20">
      <c r="A389">
        <v>3</v>
      </c>
      <c r="B389">
        <v>479703</v>
      </c>
      <c r="C389" t="s">
        <v>12</v>
      </c>
      <c r="D389" s="2">
        <v>1190</v>
      </c>
      <c r="E389" s="1">
        <v>43983</v>
      </c>
      <c r="F389">
        <v>1</v>
      </c>
      <c r="G389">
        <v>6</v>
      </c>
      <c r="H389">
        <v>2020</v>
      </c>
      <c r="I389" s="5">
        <f>(Table32[[#This Row],[Revenue]]/Table32[[#This Row],[Units Sold]])</f>
        <v>5</v>
      </c>
      <c r="J389" s="5">
        <f>Table32[[#This Row],[revenue/unit]]-Table32[[#This Row],[Cost/unit]]</f>
        <v>2.8</v>
      </c>
      <c r="K389">
        <f>Table32[[#This Row],[Revenue]]-Table32[[#This Row],[Cost]]</f>
        <v>3332</v>
      </c>
      <c r="L389" s="6">
        <f>Table32[[#This Row],[Net Profit]]/Table32[[#This Row],[Cost]]</f>
        <v>1.2727272727272727</v>
      </c>
      <c r="M389">
        <v>5950</v>
      </c>
      <c r="N389" s="7">
        <f>Table32[[#This Row],[Cost]]/Table32[[#This Row],[Units Sold]]</f>
        <v>2.2000000000000002</v>
      </c>
      <c r="O389">
        <v>2618</v>
      </c>
      <c r="T389" s="1"/>
    </row>
    <row r="390" spans="1:20">
      <c r="A390">
        <v>5</v>
      </c>
      <c r="B390">
        <v>649737</v>
      </c>
      <c r="C390" t="s">
        <v>13</v>
      </c>
      <c r="D390" s="2">
        <v>2178</v>
      </c>
      <c r="E390" s="1">
        <v>43983</v>
      </c>
      <c r="F390">
        <v>1</v>
      </c>
      <c r="G390">
        <v>6</v>
      </c>
      <c r="H390">
        <v>2020</v>
      </c>
      <c r="I390" s="5">
        <f>(Table32[[#This Row],[Revenue]]/Table32[[#This Row],[Units Sold]])</f>
        <v>4</v>
      </c>
      <c r="J390" s="5">
        <f>Table32[[#This Row],[revenue/unit]]-Table32[[#This Row],[Cost/unit]]</f>
        <v>2.5</v>
      </c>
      <c r="K390">
        <f>Table32[[#This Row],[Revenue]]-Table32[[#This Row],[Cost]]</f>
        <v>5445</v>
      </c>
      <c r="L390" s="6">
        <f>Table32[[#This Row],[Net Profit]]/Table32[[#This Row],[Cost]]</f>
        <v>1.6666666666666667</v>
      </c>
      <c r="M390">
        <v>8712</v>
      </c>
      <c r="N390" s="7">
        <f>Table32[[#This Row],[Cost]]/Table32[[#This Row],[Units Sold]]</f>
        <v>1.5</v>
      </c>
      <c r="O390">
        <v>3267</v>
      </c>
      <c r="T390" s="1"/>
    </row>
    <row r="391" spans="1:20">
      <c r="A391">
        <v>3</v>
      </c>
      <c r="B391">
        <v>361699</v>
      </c>
      <c r="C391" t="s">
        <v>13</v>
      </c>
      <c r="D391" s="2">
        <v>888</v>
      </c>
      <c r="E391" s="1">
        <v>43983</v>
      </c>
      <c r="F391">
        <v>1</v>
      </c>
      <c r="G391">
        <v>6</v>
      </c>
      <c r="H391">
        <v>2020</v>
      </c>
      <c r="I391" s="5">
        <f>(Table32[[#This Row],[Revenue]]/Table32[[#This Row],[Units Sold]])</f>
        <v>4</v>
      </c>
      <c r="J391" s="5">
        <f>Table32[[#This Row],[revenue/unit]]-Table32[[#This Row],[Cost/unit]]</f>
        <v>2.5</v>
      </c>
      <c r="K391">
        <f>Table32[[#This Row],[Revenue]]-Table32[[#This Row],[Cost]]</f>
        <v>2220</v>
      </c>
      <c r="L391" s="6">
        <f>Table32[[#This Row],[Net Profit]]/Table32[[#This Row],[Cost]]</f>
        <v>1.6666666666666667</v>
      </c>
      <c r="M391">
        <v>3552</v>
      </c>
      <c r="N391" s="7">
        <f>Table32[[#This Row],[Cost]]/Table32[[#This Row],[Units Sold]]</f>
        <v>1.5</v>
      </c>
      <c r="O391">
        <v>1332</v>
      </c>
      <c r="T391" s="1"/>
    </row>
    <row r="392" spans="1:20">
      <c r="A392">
        <v>1</v>
      </c>
      <c r="B392">
        <v>293680</v>
      </c>
      <c r="C392" t="s">
        <v>13</v>
      </c>
      <c r="D392" s="2">
        <v>2470</v>
      </c>
      <c r="E392" s="1">
        <v>43983</v>
      </c>
      <c r="F392">
        <v>1</v>
      </c>
      <c r="G392">
        <v>6</v>
      </c>
      <c r="H392">
        <v>2020</v>
      </c>
      <c r="I392" s="5">
        <f>(Table32[[#This Row],[Revenue]]/Table32[[#This Row],[Units Sold]])</f>
        <v>4</v>
      </c>
      <c r="J392" s="5">
        <f>Table32[[#This Row],[revenue/unit]]-Table32[[#This Row],[Cost/unit]]</f>
        <v>2.5</v>
      </c>
      <c r="K392">
        <f>Table32[[#This Row],[Revenue]]-Table32[[#This Row],[Cost]]</f>
        <v>6175</v>
      </c>
      <c r="L392" s="6">
        <f>Table32[[#This Row],[Net Profit]]/Table32[[#This Row],[Cost]]</f>
        <v>1.6666666666666667</v>
      </c>
      <c r="M392">
        <v>9880</v>
      </c>
      <c r="N392" s="7">
        <f>Table32[[#This Row],[Cost]]/Table32[[#This Row],[Units Sold]]</f>
        <v>1.5</v>
      </c>
      <c r="O392">
        <v>3705</v>
      </c>
      <c r="T392" s="1"/>
    </row>
    <row r="393" spans="1:20">
      <c r="A393">
        <v>3</v>
      </c>
      <c r="B393">
        <v>745878</v>
      </c>
      <c r="C393" t="s">
        <v>13</v>
      </c>
      <c r="D393" s="2">
        <v>689</v>
      </c>
      <c r="E393" s="1">
        <v>43983</v>
      </c>
      <c r="F393">
        <v>1</v>
      </c>
      <c r="G393">
        <v>6</v>
      </c>
      <c r="H393">
        <v>2020</v>
      </c>
      <c r="I393" s="5">
        <f>(Table32[[#This Row],[Revenue]]/Table32[[#This Row],[Units Sold]])</f>
        <v>4</v>
      </c>
      <c r="J393" s="5">
        <f>Table32[[#This Row],[revenue/unit]]-Table32[[#This Row],[Cost/unit]]</f>
        <v>2.5</v>
      </c>
      <c r="K393">
        <f>Table32[[#This Row],[Revenue]]-Table32[[#This Row],[Cost]]</f>
        <v>1722.5</v>
      </c>
      <c r="L393" s="6">
        <f>Table32[[#This Row],[Net Profit]]/Table32[[#This Row],[Cost]]</f>
        <v>1.6666666666666667</v>
      </c>
      <c r="M393">
        <v>2756</v>
      </c>
      <c r="N393" s="7">
        <f>Table32[[#This Row],[Cost]]/Table32[[#This Row],[Units Sold]]</f>
        <v>1.5</v>
      </c>
      <c r="O393">
        <v>1033.5</v>
      </c>
      <c r="T393" s="1"/>
    </row>
    <row r="394" spans="1:20">
      <c r="A394">
        <v>1</v>
      </c>
      <c r="B394">
        <v>551997</v>
      </c>
      <c r="C394" t="s">
        <v>13</v>
      </c>
      <c r="D394" s="2">
        <v>991</v>
      </c>
      <c r="E394" s="1">
        <v>43983</v>
      </c>
      <c r="F394">
        <v>1</v>
      </c>
      <c r="G394">
        <v>6</v>
      </c>
      <c r="H394">
        <v>2020</v>
      </c>
      <c r="I394" s="5">
        <f>(Table32[[#This Row],[Revenue]]/Table32[[#This Row],[Units Sold]])</f>
        <v>4</v>
      </c>
      <c r="J394" s="5">
        <f>Table32[[#This Row],[revenue/unit]]-Table32[[#This Row],[Cost/unit]]</f>
        <v>2.5</v>
      </c>
      <c r="K394">
        <f>Table32[[#This Row],[Revenue]]-Table32[[#This Row],[Cost]]</f>
        <v>2477.5</v>
      </c>
      <c r="L394" s="6">
        <f>Table32[[#This Row],[Net Profit]]/Table32[[#This Row],[Cost]]</f>
        <v>1.6666666666666667</v>
      </c>
      <c r="M394">
        <v>3964</v>
      </c>
      <c r="N394" s="7">
        <f>Table32[[#This Row],[Cost]]/Table32[[#This Row],[Units Sold]]</f>
        <v>1.5</v>
      </c>
      <c r="O394">
        <v>1486.5</v>
      </c>
      <c r="T394" s="1"/>
    </row>
    <row r="395" spans="1:20">
      <c r="A395">
        <v>2</v>
      </c>
      <c r="B395">
        <v>779393</v>
      </c>
      <c r="C395" t="s">
        <v>13</v>
      </c>
      <c r="D395" s="2">
        <v>2844</v>
      </c>
      <c r="E395" s="1">
        <v>43983</v>
      </c>
      <c r="F395">
        <v>1</v>
      </c>
      <c r="G395">
        <v>6</v>
      </c>
      <c r="H395">
        <v>2020</v>
      </c>
      <c r="I395" s="5">
        <f>(Table32[[#This Row],[Revenue]]/Table32[[#This Row],[Units Sold]])</f>
        <v>4</v>
      </c>
      <c r="J395" s="5">
        <f>Table32[[#This Row],[revenue/unit]]-Table32[[#This Row],[Cost/unit]]</f>
        <v>2.5</v>
      </c>
      <c r="K395">
        <f>Table32[[#This Row],[Revenue]]-Table32[[#This Row],[Cost]]</f>
        <v>7110</v>
      </c>
      <c r="L395" s="6">
        <f>Table32[[#This Row],[Net Profit]]/Table32[[#This Row],[Cost]]</f>
        <v>1.6666666666666667</v>
      </c>
      <c r="M395">
        <v>11376</v>
      </c>
      <c r="N395" s="7">
        <f>Table32[[#This Row],[Cost]]/Table32[[#This Row],[Units Sold]]</f>
        <v>1.5</v>
      </c>
      <c r="O395">
        <v>4266</v>
      </c>
      <c r="T395" s="1"/>
    </row>
    <row r="396" spans="1:20">
      <c r="A396">
        <v>5</v>
      </c>
      <c r="B396">
        <v>115306</v>
      </c>
      <c r="C396" t="s">
        <v>13</v>
      </c>
      <c r="D396" s="2">
        <v>448</v>
      </c>
      <c r="E396" s="1">
        <v>43983</v>
      </c>
      <c r="F396">
        <v>1</v>
      </c>
      <c r="G396">
        <v>6</v>
      </c>
      <c r="H396">
        <v>2020</v>
      </c>
      <c r="I396" s="5">
        <f>(Table32[[#This Row],[Revenue]]/Table32[[#This Row],[Units Sold]])</f>
        <v>4</v>
      </c>
      <c r="J396" s="5">
        <f>Table32[[#This Row],[revenue/unit]]-Table32[[#This Row],[Cost/unit]]</f>
        <v>2.5</v>
      </c>
      <c r="K396">
        <f>Table32[[#This Row],[Revenue]]-Table32[[#This Row],[Cost]]</f>
        <v>1120</v>
      </c>
      <c r="L396" s="6">
        <f>Table32[[#This Row],[Net Profit]]/Table32[[#This Row],[Cost]]</f>
        <v>1.6666666666666667</v>
      </c>
      <c r="M396">
        <v>1792</v>
      </c>
      <c r="N396" s="7">
        <f>Table32[[#This Row],[Cost]]/Table32[[#This Row],[Units Sold]]</f>
        <v>1.5</v>
      </c>
      <c r="O396">
        <v>672</v>
      </c>
      <c r="T396" s="1"/>
    </row>
    <row r="397" spans="1:20">
      <c r="A397">
        <v>3</v>
      </c>
      <c r="B397">
        <v>629559</v>
      </c>
      <c r="C397" t="s">
        <v>13</v>
      </c>
      <c r="D397" s="2">
        <v>1094</v>
      </c>
      <c r="E397" s="1">
        <v>43983</v>
      </c>
      <c r="F397">
        <v>1</v>
      </c>
      <c r="G397">
        <v>6</v>
      </c>
      <c r="H397">
        <v>2020</v>
      </c>
      <c r="I397" s="5">
        <f>(Table32[[#This Row],[Revenue]]/Table32[[#This Row],[Units Sold]])</f>
        <v>4</v>
      </c>
      <c r="J397" s="5">
        <f>Table32[[#This Row],[revenue/unit]]-Table32[[#This Row],[Cost/unit]]</f>
        <v>2.5</v>
      </c>
      <c r="K397">
        <f>Table32[[#This Row],[Revenue]]-Table32[[#This Row],[Cost]]</f>
        <v>2735</v>
      </c>
      <c r="L397" s="6">
        <f>Table32[[#This Row],[Net Profit]]/Table32[[#This Row],[Cost]]</f>
        <v>1.6666666666666667</v>
      </c>
      <c r="M397">
        <v>4376</v>
      </c>
      <c r="N397" s="7">
        <f>Table32[[#This Row],[Cost]]/Table32[[#This Row],[Units Sold]]</f>
        <v>1.5</v>
      </c>
      <c r="O397">
        <v>1641</v>
      </c>
      <c r="T397" s="1"/>
    </row>
    <row r="398" spans="1:20">
      <c r="A398">
        <v>4</v>
      </c>
      <c r="B398">
        <v>533938</v>
      </c>
      <c r="C398" t="s">
        <v>13</v>
      </c>
      <c r="D398" s="2">
        <v>886</v>
      </c>
      <c r="E398" s="1">
        <v>43983</v>
      </c>
      <c r="F398">
        <v>1</v>
      </c>
      <c r="G398">
        <v>6</v>
      </c>
      <c r="H398">
        <v>2020</v>
      </c>
      <c r="I398" s="5">
        <f>(Table32[[#This Row],[Revenue]]/Table32[[#This Row],[Units Sold]])</f>
        <v>4</v>
      </c>
      <c r="J398" s="5">
        <f>Table32[[#This Row],[revenue/unit]]-Table32[[#This Row],[Cost/unit]]</f>
        <v>2.5</v>
      </c>
      <c r="K398">
        <f>Table32[[#This Row],[Revenue]]-Table32[[#This Row],[Cost]]</f>
        <v>2215</v>
      </c>
      <c r="L398" s="6">
        <f>Table32[[#This Row],[Net Profit]]/Table32[[#This Row],[Cost]]</f>
        <v>1.6666666666666667</v>
      </c>
      <c r="M398">
        <v>3544</v>
      </c>
      <c r="N398" s="7">
        <f>Table32[[#This Row],[Cost]]/Table32[[#This Row],[Units Sold]]</f>
        <v>1.5</v>
      </c>
      <c r="O398">
        <v>1329</v>
      </c>
      <c r="T398" s="1"/>
    </row>
    <row r="399" spans="1:20">
      <c r="A399">
        <v>5</v>
      </c>
      <c r="B399">
        <v>759173</v>
      </c>
      <c r="C399" t="s">
        <v>13</v>
      </c>
      <c r="D399" s="2">
        <v>2567</v>
      </c>
      <c r="E399" s="1">
        <v>43983</v>
      </c>
      <c r="F399">
        <v>1</v>
      </c>
      <c r="G399">
        <v>6</v>
      </c>
      <c r="H399">
        <v>2020</v>
      </c>
      <c r="I399" s="5">
        <f>(Table32[[#This Row],[Revenue]]/Table32[[#This Row],[Units Sold]])</f>
        <v>4</v>
      </c>
      <c r="J399" s="5">
        <f>Table32[[#This Row],[revenue/unit]]-Table32[[#This Row],[Cost/unit]]</f>
        <v>2.5</v>
      </c>
      <c r="K399">
        <f>Table32[[#This Row],[Revenue]]-Table32[[#This Row],[Cost]]</f>
        <v>6417.5</v>
      </c>
      <c r="L399" s="6">
        <f>Table32[[#This Row],[Net Profit]]/Table32[[#This Row],[Cost]]</f>
        <v>1.6666666666666667</v>
      </c>
      <c r="M399">
        <v>10268</v>
      </c>
      <c r="N399" s="7">
        <f>Table32[[#This Row],[Cost]]/Table32[[#This Row],[Units Sold]]</f>
        <v>1.5</v>
      </c>
      <c r="O399">
        <v>3850.5</v>
      </c>
      <c r="T399" s="1"/>
    </row>
    <row r="400" spans="1:20">
      <c r="A400">
        <v>2</v>
      </c>
      <c r="B400">
        <v>246621</v>
      </c>
      <c r="C400" t="s">
        <v>14</v>
      </c>
      <c r="D400" s="2">
        <v>2178</v>
      </c>
      <c r="E400" s="1">
        <v>43983</v>
      </c>
      <c r="F400">
        <v>1</v>
      </c>
      <c r="G400">
        <v>6</v>
      </c>
      <c r="H400">
        <v>2020</v>
      </c>
      <c r="I400" s="5">
        <f>(Table32[[#This Row],[Revenue]]/Table32[[#This Row],[Units Sold]])</f>
        <v>3</v>
      </c>
      <c r="J400" s="5">
        <f>Table32[[#This Row],[revenue/unit]]-Table32[[#This Row],[Cost/unit]]</f>
        <v>1.75</v>
      </c>
      <c r="K400">
        <f>Table32[[#This Row],[Revenue]]-Table32[[#This Row],[Cost]]</f>
        <v>3811.5</v>
      </c>
      <c r="L400" s="6">
        <f>Table32[[#This Row],[Net Profit]]/Table32[[#This Row],[Cost]]</f>
        <v>1.4</v>
      </c>
      <c r="M400">
        <v>6534</v>
      </c>
      <c r="N400" s="7">
        <f>Table32[[#This Row],[Cost]]/Table32[[#This Row],[Units Sold]]</f>
        <v>1.25</v>
      </c>
      <c r="O400">
        <v>2722.5</v>
      </c>
      <c r="T400" s="1"/>
    </row>
    <row r="401" spans="1:20">
      <c r="A401">
        <v>3</v>
      </c>
      <c r="B401">
        <v>641259</v>
      </c>
      <c r="C401" t="s">
        <v>14</v>
      </c>
      <c r="D401" s="2">
        <v>888</v>
      </c>
      <c r="E401" s="1">
        <v>43983</v>
      </c>
      <c r="F401">
        <v>1</v>
      </c>
      <c r="G401">
        <v>6</v>
      </c>
      <c r="H401">
        <v>2020</v>
      </c>
      <c r="I401" s="5">
        <f>(Table32[[#This Row],[Revenue]]/Table32[[#This Row],[Units Sold]])</f>
        <v>3</v>
      </c>
      <c r="J401" s="5">
        <f>Table32[[#This Row],[revenue/unit]]-Table32[[#This Row],[Cost/unit]]</f>
        <v>1.75</v>
      </c>
      <c r="K401">
        <f>Table32[[#This Row],[Revenue]]-Table32[[#This Row],[Cost]]</f>
        <v>1554</v>
      </c>
      <c r="L401" s="6">
        <f>Table32[[#This Row],[Net Profit]]/Table32[[#This Row],[Cost]]</f>
        <v>1.4</v>
      </c>
      <c r="M401">
        <v>2664</v>
      </c>
      <c r="N401" s="7">
        <f>Table32[[#This Row],[Cost]]/Table32[[#This Row],[Units Sold]]</f>
        <v>1.25</v>
      </c>
      <c r="O401">
        <v>1110</v>
      </c>
      <c r="T401" s="1"/>
    </row>
    <row r="402" spans="1:20">
      <c r="A402">
        <v>1</v>
      </c>
      <c r="B402">
        <v>327845</v>
      </c>
      <c r="C402" t="s">
        <v>14</v>
      </c>
      <c r="D402" s="2">
        <v>727</v>
      </c>
      <c r="E402" s="1">
        <v>43983</v>
      </c>
      <c r="F402">
        <v>1</v>
      </c>
      <c r="G402">
        <v>6</v>
      </c>
      <c r="H402">
        <v>2020</v>
      </c>
      <c r="I402" s="5">
        <f>(Table32[[#This Row],[Revenue]]/Table32[[#This Row],[Units Sold]])</f>
        <v>3</v>
      </c>
      <c r="J402" s="5">
        <f>Table32[[#This Row],[revenue/unit]]-Table32[[#This Row],[Cost/unit]]</f>
        <v>1.75</v>
      </c>
      <c r="K402">
        <f>Table32[[#This Row],[Revenue]]-Table32[[#This Row],[Cost]]</f>
        <v>1272.25</v>
      </c>
      <c r="L402" s="6">
        <f>Table32[[#This Row],[Net Profit]]/Table32[[#This Row],[Cost]]</f>
        <v>1.4</v>
      </c>
      <c r="M402">
        <v>2181</v>
      </c>
      <c r="N402" s="7">
        <f>Table32[[#This Row],[Cost]]/Table32[[#This Row],[Units Sold]]</f>
        <v>1.25</v>
      </c>
      <c r="O402">
        <v>908.75</v>
      </c>
      <c r="T402" s="1"/>
    </row>
    <row r="403" spans="1:20">
      <c r="A403">
        <v>3</v>
      </c>
      <c r="B403">
        <v>460452</v>
      </c>
      <c r="C403" t="s">
        <v>14</v>
      </c>
      <c r="D403" s="2">
        <v>787</v>
      </c>
      <c r="E403" s="1">
        <v>43983</v>
      </c>
      <c r="F403">
        <v>1</v>
      </c>
      <c r="G403">
        <v>6</v>
      </c>
      <c r="H403">
        <v>2020</v>
      </c>
      <c r="I403" s="5">
        <f>(Table32[[#This Row],[Revenue]]/Table32[[#This Row],[Units Sold]])</f>
        <v>3</v>
      </c>
      <c r="J403" s="5">
        <f>Table32[[#This Row],[revenue/unit]]-Table32[[#This Row],[Cost/unit]]</f>
        <v>1.75</v>
      </c>
      <c r="K403">
        <f>Table32[[#This Row],[Revenue]]-Table32[[#This Row],[Cost]]</f>
        <v>1377.25</v>
      </c>
      <c r="L403" s="6">
        <f>Table32[[#This Row],[Net Profit]]/Table32[[#This Row],[Cost]]</f>
        <v>1.4</v>
      </c>
      <c r="M403">
        <v>2361</v>
      </c>
      <c r="N403" s="7">
        <f>Table32[[#This Row],[Cost]]/Table32[[#This Row],[Units Sold]]</f>
        <v>1.25</v>
      </c>
      <c r="O403">
        <v>983.75</v>
      </c>
      <c r="T403" s="1"/>
    </row>
    <row r="404" spans="1:20">
      <c r="A404">
        <v>5</v>
      </c>
      <c r="B404">
        <v>160577</v>
      </c>
      <c r="C404" t="s">
        <v>14</v>
      </c>
      <c r="D404" s="2">
        <v>662</v>
      </c>
      <c r="E404" s="1">
        <v>43983</v>
      </c>
      <c r="F404">
        <v>1</v>
      </c>
      <c r="G404">
        <v>6</v>
      </c>
      <c r="H404">
        <v>2020</v>
      </c>
      <c r="I404" s="5">
        <f>(Table32[[#This Row],[Revenue]]/Table32[[#This Row],[Units Sold]])</f>
        <v>3</v>
      </c>
      <c r="J404" s="5">
        <f>Table32[[#This Row],[revenue/unit]]-Table32[[#This Row],[Cost/unit]]</f>
        <v>1.75</v>
      </c>
      <c r="K404">
        <f>Table32[[#This Row],[Revenue]]-Table32[[#This Row],[Cost]]</f>
        <v>1158.5</v>
      </c>
      <c r="L404" s="6">
        <f>Table32[[#This Row],[Net Profit]]/Table32[[#This Row],[Cost]]</f>
        <v>1.4</v>
      </c>
      <c r="M404">
        <v>1986</v>
      </c>
      <c r="N404" s="7">
        <f>Table32[[#This Row],[Cost]]/Table32[[#This Row],[Units Sold]]</f>
        <v>1.25</v>
      </c>
      <c r="O404">
        <v>827.5</v>
      </c>
      <c r="T404" s="1"/>
    </row>
    <row r="405" spans="1:20">
      <c r="A405">
        <v>2</v>
      </c>
      <c r="B405">
        <v>358173</v>
      </c>
      <c r="C405" t="s">
        <v>14</v>
      </c>
      <c r="D405" s="2">
        <v>1570</v>
      </c>
      <c r="E405" s="1">
        <v>43983</v>
      </c>
      <c r="F405">
        <v>1</v>
      </c>
      <c r="G405">
        <v>6</v>
      </c>
      <c r="H405">
        <v>2020</v>
      </c>
      <c r="I405" s="5">
        <f>(Table32[[#This Row],[Revenue]]/Table32[[#This Row],[Units Sold]])</f>
        <v>3</v>
      </c>
      <c r="J405" s="5">
        <f>Table32[[#This Row],[revenue/unit]]-Table32[[#This Row],[Cost/unit]]</f>
        <v>1.75</v>
      </c>
      <c r="K405">
        <f>Table32[[#This Row],[Revenue]]-Table32[[#This Row],[Cost]]</f>
        <v>2747.5</v>
      </c>
      <c r="L405" s="6">
        <f>Table32[[#This Row],[Net Profit]]/Table32[[#This Row],[Cost]]</f>
        <v>1.4</v>
      </c>
      <c r="M405">
        <v>4710</v>
      </c>
      <c r="N405" s="7">
        <f>Table32[[#This Row],[Cost]]/Table32[[#This Row],[Units Sold]]</f>
        <v>1.25</v>
      </c>
      <c r="O405">
        <v>1962.5</v>
      </c>
      <c r="T405" s="1"/>
    </row>
    <row r="406" spans="1:20">
      <c r="A406">
        <v>2</v>
      </c>
      <c r="B406">
        <v>701669</v>
      </c>
      <c r="C406" t="s">
        <v>14</v>
      </c>
      <c r="D406" s="2">
        <v>2844</v>
      </c>
      <c r="E406" s="1">
        <v>43983</v>
      </c>
      <c r="F406">
        <v>1</v>
      </c>
      <c r="G406">
        <v>6</v>
      </c>
      <c r="H406">
        <v>2020</v>
      </c>
      <c r="I406" s="5">
        <f>(Table32[[#This Row],[Revenue]]/Table32[[#This Row],[Units Sold]])</f>
        <v>3</v>
      </c>
      <c r="J406" s="5">
        <f>Table32[[#This Row],[revenue/unit]]-Table32[[#This Row],[Cost/unit]]</f>
        <v>1.75</v>
      </c>
      <c r="K406">
        <f>Table32[[#This Row],[Revenue]]-Table32[[#This Row],[Cost]]</f>
        <v>4977</v>
      </c>
      <c r="L406" s="6">
        <f>Table32[[#This Row],[Net Profit]]/Table32[[#This Row],[Cost]]</f>
        <v>1.4</v>
      </c>
      <c r="M406">
        <v>8532</v>
      </c>
      <c r="N406" s="7">
        <f>Table32[[#This Row],[Cost]]/Table32[[#This Row],[Units Sold]]</f>
        <v>1.25</v>
      </c>
      <c r="O406">
        <v>3555</v>
      </c>
      <c r="T406" s="1"/>
    </row>
    <row r="407" spans="1:20">
      <c r="A407">
        <v>5</v>
      </c>
      <c r="B407">
        <v>721252</v>
      </c>
      <c r="C407" t="s">
        <v>14</v>
      </c>
      <c r="D407" s="2">
        <v>1498</v>
      </c>
      <c r="E407" s="1">
        <v>43983</v>
      </c>
      <c r="F407">
        <v>1</v>
      </c>
      <c r="G407">
        <v>6</v>
      </c>
      <c r="H407">
        <v>2020</v>
      </c>
      <c r="I407" s="5">
        <f>(Table32[[#This Row],[Revenue]]/Table32[[#This Row],[Units Sold]])</f>
        <v>3</v>
      </c>
      <c r="J407" s="5">
        <f>Table32[[#This Row],[revenue/unit]]-Table32[[#This Row],[Cost/unit]]</f>
        <v>1.75</v>
      </c>
      <c r="K407">
        <f>Table32[[#This Row],[Revenue]]-Table32[[#This Row],[Cost]]</f>
        <v>2621.5</v>
      </c>
      <c r="L407" s="6">
        <f>Table32[[#This Row],[Net Profit]]/Table32[[#This Row],[Cost]]</f>
        <v>1.4</v>
      </c>
      <c r="M407">
        <v>4494</v>
      </c>
      <c r="N407" s="7">
        <f>Table32[[#This Row],[Cost]]/Table32[[#This Row],[Units Sold]]</f>
        <v>1.25</v>
      </c>
      <c r="O407">
        <v>1872.5</v>
      </c>
      <c r="T407" s="1"/>
    </row>
    <row r="408" spans="1:20">
      <c r="A408">
        <v>3</v>
      </c>
      <c r="B408">
        <v>406234</v>
      </c>
      <c r="C408" t="s">
        <v>14</v>
      </c>
      <c r="D408" s="2">
        <v>2338</v>
      </c>
      <c r="E408" s="1">
        <v>43983</v>
      </c>
      <c r="F408">
        <v>1</v>
      </c>
      <c r="G408">
        <v>6</v>
      </c>
      <c r="H408">
        <v>2020</v>
      </c>
      <c r="I408" s="5">
        <f>(Table32[[#This Row],[Revenue]]/Table32[[#This Row],[Units Sold]])</f>
        <v>3</v>
      </c>
      <c r="J408" s="5">
        <f>Table32[[#This Row],[revenue/unit]]-Table32[[#This Row],[Cost/unit]]</f>
        <v>1.75</v>
      </c>
      <c r="K408">
        <f>Table32[[#This Row],[Revenue]]-Table32[[#This Row],[Cost]]</f>
        <v>4091.5</v>
      </c>
      <c r="L408" s="6">
        <f>Table32[[#This Row],[Net Profit]]/Table32[[#This Row],[Cost]]</f>
        <v>1.4</v>
      </c>
      <c r="M408">
        <v>7014</v>
      </c>
      <c r="N408" s="7">
        <f>Table32[[#This Row],[Cost]]/Table32[[#This Row],[Units Sold]]</f>
        <v>1.25</v>
      </c>
      <c r="O408">
        <v>2922.5</v>
      </c>
      <c r="T408" s="1"/>
    </row>
    <row r="409" spans="1:20">
      <c r="A409">
        <v>2</v>
      </c>
      <c r="B409">
        <v>384410</v>
      </c>
      <c r="C409" t="s">
        <v>14</v>
      </c>
      <c r="D409" s="2">
        <v>2567</v>
      </c>
      <c r="E409" s="1">
        <v>43983</v>
      </c>
      <c r="F409">
        <v>1</v>
      </c>
      <c r="G409">
        <v>6</v>
      </c>
      <c r="H409">
        <v>2020</v>
      </c>
      <c r="I409" s="5">
        <f>(Table32[[#This Row],[Revenue]]/Table32[[#This Row],[Units Sold]])</f>
        <v>3</v>
      </c>
      <c r="J409" s="5">
        <f>Table32[[#This Row],[revenue/unit]]-Table32[[#This Row],[Cost/unit]]</f>
        <v>1.75</v>
      </c>
      <c r="K409">
        <f>Table32[[#This Row],[Revenue]]-Table32[[#This Row],[Cost]]</f>
        <v>4492.25</v>
      </c>
      <c r="L409" s="6">
        <f>Table32[[#This Row],[Net Profit]]/Table32[[#This Row],[Cost]]</f>
        <v>1.4</v>
      </c>
      <c r="M409">
        <v>7701</v>
      </c>
      <c r="N409" s="7">
        <f>Table32[[#This Row],[Cost]]/Table32[[#This Row],[Units Sold]]</f>
        <v>1.25</v>
      </c>
      <c r="O409">
        <v>3208.75</v>
      </c>
      <c r="T409" s="1"/>
    </row>
    <row r="410" spans="1:20">
      <c r="A410">
        <v>2</v>
      </c>
      <c r="B410">
        <v>561318</v>
      </c>
      <c r="C410" t="s">
        <v>14</v>
      </c>
      <c r="D410" s="2">
        <v>1583</v>
      </c>
      <c r="E410" s="1">
        <v>43983</v>
      </c>
      <c r="F410">
        <v>1</v>
      </c>
      <c r="G410">
        <v>6</v>
      </c>
      <c r="H410">
        <v>2020</v>
      </c>
      <c r="I410" s="5">
        <f>(Table32[[#This Row],[Revenue]]/Table32[[#This Row],[Units Sold]])</f>
        <v>3</v>
      </c>
      <c r="J410" s="5">
        <f>Table32[[#This Row],[revenue/unit]]-Table32[[#This Row],[Cost/unit]]</f>
        <v>1.75</v>
      </c>
      <c r="K410">
        <f>Table32[[#This Row],[Revenue]]-Table32[[#This Row],[Cost]]</f>
        <v>2770.25</v>
      </c>
      <c r="L410" s="6">
        <f>Table32[[#This Row],[Net Profit]]/Table32[[#This Row],[Cost]]</f>
        <v>1.4</v>
      </c>
      <c r="M410">
        <v>4749</v>
      </c>
      <c r="N410" s="7">
        <f>Table32[[#This Row],[Cost]]/Table32[[#This Row],[Units Sold]]</f>
        <v>1.25</v>
      </c>
      <c r="O410">
        <v>1978.75</v>
      </c>
      <c r="T410" s="1"/>
    </row>
    <row r="411" spans="1:20">
      <c r="A411">
        <v>4</v>
      </c>
      <c r="B411">
        <v>552346</v>
      </c>
      <c r="C411" t="s">
        <v>15</v>
      </c>
      <c r="D411" s="2">
        <v>1006</v>
      </c>
      <c r="E411" s="1">
        <v>43983</v>
      </c>
      <c r="F411">
        <v>1</v>
      </c>
      <c r="G411">
        <v>6</v>
      </c>
      <c r="H411">
        <v>2020</v>
      </c>
      <c r="I411" s="5">
        <f>(Table32[[#This Row],[Revenue]]/Table32[[#This Row],[Units Sold]])</f>
        <v>6</v>
      </c>
      <c r="J411" s="5">
        <f>Table32[[#This Row],[revenue/unit]]-Table32[[#This Row],[Cost/unit]]</f>
        <v>3.25</v>
      </c>
      <c r="K411">
        <f>Table32[[#This Row],[Revenue]]-Table32[[#This Row],[Cost]]</f>
        <v>3269.5</v>
      </c>
      <c r="L411" s="6">
        <f>Table32[[#This Row],[Net Profit]]/Table32[[#This Row],[Cost]]</f>
        <v>1.1818181818181819</v>
      </c>
      <c r="M411">
        <v>6036</v>
      </c>
      <c r="N411" s="7">
        <f>Table32[[#This Row],[Cost]]/Table32[[#This Row],[Units Sold]]</f>
        <v>2.75</v>
      </c>
      <c r="O411">
        <v>2766.5</v>
      </c>
      <c r="T411" s="1"/>
    </row>
    <row r="412" spans="1:20">
      <c r="A412">
        <v>1</v>
      </c>
      <c r="B412">
        <v>643742</v>
      </c>
      <c r="C412" t="s">
        <v>15</v>
      </c>
      <c r="D412" s="2">
        <v>1545</v>
      </c>
      <c r="E412" s="1">
        <v>43983</v>
      </c>
      <c r="F412">
        <v>1</v>
      </c>
      <c r="G412">
        <v>6</v>
      </c>
      <c r="H412">
        <v>2020</v>
      </c>
      <c r="I412" s="5">
        <f>(Table32[[#This Row],[Revenue]]/Table32[[#This Row],[Units Sold]])</f>
        <v>6</v>
      </c>
      <c r="J412" s="5">
        <f>Table32[[#This Row],[revenue/unit]]-Table32[[#This Row],[Cost/unit]]</f>
        <v>3.25</v>
      </c>
      <c r="K412">
        <f>Table32[[#This Row],[Revenue]]-Table32[[#This Row],[Cost]]</f>
        <v>5021.25</v>
      </c>
      <c r="L412" s="6">
        <f>Table32[[#This Row],[Net Profit]]/Table32[[#This Row],[Cost]]</f>
        <v>1.1818181818181819</v>
      </c>
      <c r="M412">
        <v>9270</v>
      </c>
      <c r="N412" s="7">
        <f>Table32[[#This Row],[Cost]]/Table32[[#This Row],[Units Sold]]</f>
        <v>2.75</v>
      </c>
      <c r="O412">
        <v>4248.75</v>
      </c>
      <c r="T412" s="1"/>
    </row>
    <row r="413" spans="1:20">
      <c r="A413">
        <v>4</v>
      </c>
      <c r="B413">
        <v>192398</v>
      </c>
      <c r="C413" t="s">
        <v>15</v>
      </c>
      <c r="D413" s="2">
        <v>602</v>
      </c>
      <c r="E413" s="1">
        <v>43983</v>
      </c>
      <c r="F413">
        <v>1</v>
      </c>
      <c r="G413">
        <v>6</v>
      </c>
      <c r="H413">
        <v>2020</v>
      </c>
      <c r="I413" s="5">
        <f>(Table32[[#This Row],[Revenue]]/Table32[[#This Row],[Units Sold]])</f>
        <v>6</v>
      </c>
      <c r="J413" s="5">
        <f>Table32[[#This Row],[revenue/unit]]-Table32[[#This Row],[Cost/unit]]</f>
        <v>3.25</v>
      </c>
      <c r="K413">
        <f>Table32[[#This Row],[Revenue]]-Table32[[#This Row],[Cost]]</f>
        <v>1956.5</v>
      </c>
      <c r="L413" s="6">
        <f>Table32[[#This Row],[Net Profit]]/Table32[[#This Row],[Cost]]</f>
        <v>1.1818181818181819</v>
      </c>
      <c r="M413">
        <v>3612</v>
      </c>
      <c r="N413" s="7">
        <f>Table32[[#This Row],[Cost]]/Table32[[#This Row],[Units Sold]]</f>
        <v>2.75</v>
      </c>
      <c r="O413">
        <v>1655.5</v>
      </c>
      <c r="T413" s="1"/>
    </row>
    <row r="414" spans="1:20">
      <c r="A414">
        <v>2</v>
      </c>
      <c r="B414">
        <v>250308</v>
      </c>
      <c r="C414" t="s">
        <v>15</v>
      </c>
      <c r="D414" s="2">
        <v>1496</v>
      </c>
      <c r="E414" s="1">
        <v>43983</v>
      </c>
      <c r="F414">
        <v>1</v>
      </c>
      <c r="G414">
        <v>6</v>
      </c>
      <c r="H414">
        <v>2020</v>
      </c>
      <c r="I414" s="5">
        <f>(Table32[[#This Row],[Revenue]]/Table32[[#This Row],[Units Sold]])</f>
        <v>6</v>
      </c>
      <c r="J414" s="5">
        <f>Table32[[#This Row],[revenue/unit]]-Table32[[#This Row],[Cost/unit]]</f>
        <v>3.25</v>
      </c>
      <c r="K414">
        <f>Table32[[#This Row],[Revenue]]-Table32[[#This Row],[Cost]]</f>
        <v>4862</v>
      </c>
      <c r="L414" s="6">
        <f>Table32[[#This Row],[Net Profit]]/Table32[[#This Row],[Cost]]</f>
        <v>1.1818181818181819</v>
      </c>
      <c r="M414">
        <v>8976</v>
      </c>
      <c r="N414" s="7">
        <f>Table32[[#This Row],[Cost]]/Table32[[#This Row],[Units Sold]]</f>
        <v>2.75</v>
      </c>
      <c r="O414">
        <v>4114</v>
      </c>
      <c r="T414" s="1"/>
    </row>
    <row r="415" spans="1:20">
      <c r="A415">
        <v>3</v>
      </c>
      <c r="B415">
        <v>625104</v>
      </c>
      <c r="C415" t="s">
        <v>15</v>
      </c>
      <c r="D415" s="2">
        <v>1498</v>
      </c>
      <c r="E415" s="1">
        <v>43983</v>
      </c>
      <c r="F415">
        <v>1</v>
      </c>
      <c r="G415">
        <v>6</v>
      </c>
      <c r="H415">
        <v>2020</v>
      </c>
      <c r="I415" s="5">
        <f>(Table32[[#This Row],[Revenue]]/Table32[[#This Row],[Units Sold]])</f>
        <v>6</v>
      </c>
      <c r="J415" s="5">
        <f>Table32[[#This Row],[revenue/unit]]-Table32[[#This Row],[Cost/unit]]</f>
        <v>3.25</v>
      </c>
      <c r="K415">
        <f>Table32[[#This Row],[Revenue]]-Table32[[#This Row],[Cost]]</f>
        <v>4868.5</v>
      </c>
      <c r="L415" s="6">
        <f>Table32[[#This Row],[Net Profit]]/Table32[[#This Row],[Cost]]</f>
        <v>1.1818181818181819</v>
      </c>
      <c r="M415">
        <v>8988</v>
      </c>
      <c r="N415" s="7">
        <f>Table32[[#This Row],[Cost]]/Table32[[#This Row],[Units Sold]]</f>
        <v>2.75</v>
      </c>
      <c r="O415">
        <v>4119.5</v>
      </c>
      <c r="T415" s="1"/>
    </row>
    <row r="416" spans="1:20">
      <c r="A416">
        <v>3</v>
      </c>
      <c r="B416">
        <v>223911</v>
      </c>
      <c r="C416" t="s">
        <v>15</v>
      </c>
      <c r="D416" s="2">
        <v>1135</v>
      </c>
      <c r="E416" s="1">
        <v>43983</v>
      </c>
      <c r="F416">
        <v>1</v>
      </c>
      <c r="G416">
        <v>6</v>
      </c>
      <c r="H416">
        <v>2020</v>
      </c>
      <c r="I416" s="5">
        <f>(Table32[[#This Row],[Revenue]]/Table32[[#This Row],[Units Sold]])</f>
        <v>6</v>
      </c>
      <c r="J416" s="5">
        <f>Table32[[#This Row],[revenue/unit]]-Table32[[#This Row],[Cost/unit]]</f>
        <v>3.25</v>
      </c>
      <c r="K416">
        <f>Table32[[#This Row],[Revenue]]-Table32[[#This Row],[Cost]]</f>
        <v>3688.75</v>
      </c>
      <c r="L416" s="6">
        <f>Table32[[#This Row],[Net Profit]]/Table32[[#This Row],[Cost]]</f>
        <v>1.1818181818181819</v>
      </c>
      <c r="M416">
        <v>6810</v>
      </c>
      <c r="N416" s="7">
        <f>Table32[[#This Row],[Cost]]/Table32[[#This Row],[Units Sold]]</f>
        <v>2.75</v>
      </c>
      <c r="O416">
        <v>3121.25</v>
      </c>
      <c r="T416" s="1"/>
    </row>
    <row r="417" spans="1:20">
      <c r="A417">
        <v>3</v>
      </c>
      <c r="B417">
        <v>567117</v>
      </c>
      <c r="C417" t="s">
        <v>15</v>
      </c>
      <c r="D417" s="2">
        <v>2907</v>
      </c>
      <c r="E417" s="1">
        <v>43983</v>
      </c>
      <c r="F417">
        <v>1</v>
      </c>
      <c r="G417">
        <v>6</v>
      </c>
      <c r="H417">
        <v>2020</v>
      </c>
      <c r="I417" s="5">
        <f>(Table32[[#This Row],[Revenue]]/Table32[[#This Row],[Units Sold]])</f>
        <v>6</v>
      </c>
      <c r="J417" s="5">
        <f>Table32[[#This Row],[revenue/unit]]-Table32[[#This Row],[Cost/unit]]</f>
        <v>3.25</v>
      </c>
      <c r="K417">
        <f>Table32[[#This Row],[Revenue]]-Table32[[#This Row],[Cost]]</f>
        <v>9447.75</v>
      </c>
      <c r="L417" s="6">
        <f>Table32[[#This Row],[Net Profit]]/Table32[[#This Row],[Cost]]</f>
        <v>1.1818181818181819</v>
      </c>
      <c r="M417">
        <v>17442</v>
      </c>
      <c r="N417" s="7">
        <f>Table32[[#This Row],[Cost]]/Table32[[#This Row],[Units Sold]]</f>
        <v>2.75</v>
      </c>
      <c r="O417">
        <v>7994.25</v>
      </c>
      <c r="T417" s="1"/>
    </row>
    <row r="418" spans="1:20">
      <c r="A418">
        <v>4</v>
      </c>
      <c r="B418">
        <v>507642</v>
      </c>
      <c r="C418" t="s">
        <v>15</v>
      </c>
      <c r="D418" s="2">
        <v>2338</v>
      </c>
      <c r="E418" s="1">
        <v>43983</v>
      </c>
      <c r="F418">
        <v>1</v>
      </c>
      <c r="G418">
        <v>6</v>
      </c>
      <c r="H418">
        <v>2020</v>
      </c>
      <c r="I418" s="5">
        <f>(Table32[[#This Row],[Revenue]]/Table32[[#This Row],[Units Sold]])</f>
        <v>6</v>
      </c>
      <c r="J418" s="5">
        <f>Table32[[#This Row],[revenue/unit]]-Table32[[#This Row],[Cost/unit]]</f>
        <v>3.25</v>
      </c>
      <c r="K418">
        <f>Table32[[#This Row],[Revenue]]-Table32[[#This Row],[Cost]]</f>
        <v>7598.5</v>
      </c>
      <c r="L418" s="6">
        <f>Table32[[#This Row],[Net Profit]]/Table32[[#This Row],[Cost]]</f>
        <v>1.1818181818181819</v>
      </c>
      <c r="M418">
        <v>14028</v>
      </c>
      <c r="N418" s="7">
        <f>Table32[[#This Row],[Cost]]/Table32[[#This Row],[Units Sold]]</f>
        <v>2.75</v>
      </c>
      <c r="O418">
        <v>6429.5</v>
      </c>
      <c r="T418" s="1"/>
    </row>
    <row r="419" spans="1:20">
      <c r="A419">
        <v>4</v>
      </c>
      <c r="B419">
        <v>488771</v>
      </c>
      <c r="C419" t="s">
        <v>15</v>
      </c>
      <c r="D419" s="2">
        <v>2632</v>
      </c>
      <c r="E419" s="1">
        <v>43983</v>
      </c>
      <c r="F419">
        <v>1</v>
      </c>
      <c r="G419">
        <v>6</v>
      </c>
      <c r="H419">
        <v>2020</v>
      </c>
      <c r="I419" s="5">
        <f>(Table32[[#This Row],[Revenue]]/Table32[[#This Row],[Units Sold]])</f>
        <v>6</v>
      </c>
      <c r="J419" s="5">
        <f>Table32[[#This Row],[revenue/unit]]-Table32[[#This Row],[Cost/unit]]</f>
        <v>3.25</v>
      </c>
      <c r="K419">
        <f>Table32[[#This Row],[Revenue]]-Table32[[#This Row],[Cost]]</f>
        <v>8554</v>
      </c>
      <c r="L419" s="6">
        <f>Table32[[#This Row],[Net Profit]]/Table32[[#This Row],[Cost]]</f>
        <v>1.1818181818181819</v>
      </c>
      <c r="M419">
        <v>15792</v>
      </c>
      <c r="N419" s="7">
        <f>Table32[[#This Row],[Cost]]/Table32[[#This Row],[Units Sold]]</f>
        <v>2.75</v>
      </c>
      <c r="O419">
        <v>7238</v>
      </c>
      <c r="T419" s="1"/>
    </row>
    <row r="420" spans="1:20">
      <c r="A420">
        <v>3</v>
      </c>
      <c r="B420">
        <v>168032</v>
      </c>
      <c r="C420" t="s">
        <v>15</v>
      </c>
      <c r="D420" s="2">
        <v>1190</v>
      </c>
      <c r="E420" s="1">
        <v>43983</v>
      </c>
      <c r="F420">
        <v>1</v>
      </c>
      <c r="G420">
        <v>6</v>
      </c>
      <c r="H420">
        <v>2020</v>
      </c>
      <c r="I420" s="5">
        <f>(Table32[[#This Row],[Revenue]]/Table32[[#This Row],[Units Sold]])</f>
        <v>6</v>
      </c>
      <c r="J420" s="5">
        <f>Table32[[#This Row],[revenue/unit]]-Table32[[#This Row],[Cost/unit]]</f>
        <v>3.25</v>
      </c>
      <c r="K420">
        <f>Table32[[#This Row],[Revenue]]-Table32[[#This Row],[Cost]]</f>
        <v>3867.5</v>
      </c>
      <c r="L420" s="6">
        <f>Table32[[#This Row],[Net Profit]]/Table32[[#This Row],[Cost]]</f>
        <v>1.1818181818181819</v>
      </c>
      <c r="M420">
        <v>7140</v>
      </c>
      <c r="N420" s="7">
        <f>Table32[[#This Row],[Cost]]/Table32[[#This Row],[Units Sold]]</f>
        <v>2.75</v>
      </c>
      <c r="O420">
        <v>3272.5</v>
      </c>
      <c r="T420" s="1"/>
    </row>
    <row r="421" spans="1:20">
      <c r="A421">
        <v>1</v>
      </c>
      <c r="B421">
        <v>135967</v>
      </c>
      <c r="C421" t="s">
        <v>15</v>
      </c>
      <c r="D421" s="2">
        <v>604</v>
      </c>
      <c r="E421" s="1">
        <v>43983</v>
      </c>
      <c r="F421">
        <v>1</v>
      </c>
      <c r="G421">
        <v>6</v>
      </c>
      <c r="H421">
        <v>2020</v>
      </c>
      <c r="I421" s="5">
        <f>(Table32[[#This Row],[Revenue]]/Table32[[#This Row],[Units Sold]])</f>
        <v>6</v>
      </c>
      <c r="J421" s="5">
        <f>Table32[[#This Row],[revenue/unit]]-Table32[[#This Row],[Cost/unit]]</f>
        <v>3.25</v>
      </c>
      <c r="K421">
        <f>Table32[[#This Row],[Revenue]]-Table32[[#This Row],[Cost]]</f>
        <v>1963</v>
      </c>
      <c r="L421" s="6">
        <f>Table32[[#This Row],[Net Profit]]/Table32[[#This Row],[Cost]]</f>
        <v>1.1818181818181819</v>
      </c>
      <c r="M421">
        <v>3624</v>
      </c>
      <c r="N421" s="7">
        <f>Table32[[#This Row],[Cost]]/Table32[[#This Row],[Units Sold]]</f>
        <v>2.75</v>
      </c>
      <c r="O421">
        <v>1661</v>
      </c>
      <c r="T421" s="1"/>
    </row>
    <row r="422" spans="1:20">
      <c r="A422">
        <v>2</v>
      </c>
      <c r="B422">
        <v>898637</v>
      </c>
      <c r="C422" t="s">
        <v>10</v>
      </c>
      <c r="D422" s="2">
        <v>367</v>
      </c>
      <c r="E422" s="1">
        <v>44013</v>
      </c>
      <c r="F422">
        <v>1</v>
      </c>
      <c r="G422">
        <v>7</v>
      </c>
      <c r="H422">
        <v>2020</v>
      </c>
      <c r="I422" s="5">
        <f>(Table32[[#This Row],[Revenue]]/Table32[[#This Row],[Units Sold]])</f>
        <v>5</v>
      </c>
      <c r="J422" s="5">
        <f>Table32[[#This Row],[revenue/unit]]-Table32[[#This Row],[Cost/unit]]</f>
        <v>3</v>
      </c>
      <c r="K422">
        <f>Table32[[#This Row],[Revenue]]-Table32[[#This Row],[Cost]]</f>
        <v>1101</v>
      </c>
      <c r="L422" s="6">
        <f>Table32[[#This Row],[Net Profit]]/Table32[[#This Row],[Cost]]</f>
        <v>1.5</v>
      </c>
      <c r="M422">
        <v>1835</v>
      </c>
      <c r="N422" s="7">
        <f>Table32[[#This Row],[Cost]]/Table32[[#This Row],[Units Sold]]</f>
        <v>2</v>
      </c>
      <c r="O422">
        <v>734</v>
      </c>
      <c r="T422" s="1"/>
    </row>
    <row r="423" spans="1:20">
      <c r="A423">
        <v>4</v>
      </c>
      <c r="B423">
        <v>534742</v>
      </c>
      <c r="C423" t="s">
        <v>10</v>
      </c>
      <c r="D423" s="2">
        <v>1823</v>
      </c>
      <c r="E423" s="1">
        <v>44013</v>
      </c>
      <c r="F423">
        <v>1</v>
      </c>
      <c r="G423">
        <v>7</v>
      </c>
      <c r="H423">
        <v>2020</v>
      </c>
      <c r="I423" s="5">
        <f>(Table32[[#This Row],[Revenue]]/Table32[[#This Row],[Units Sold]])</f>
        <v>5</v>
      </c>
      <c r="J423" s="5">
        <f>Table32[[#This Row],[revenue/unit]]-Table32[[#This Row],[Cost/unit]]</f>
        <v>3</v>
      </c>
      <c r="K423">
        <f>Table32[[#This Row],[Revenue]]-Table32[[#This Row],[Cost]]</f>
        <v>5469</v>
      </c>
      <c r="L423" s="6">
        <f>Table32[[#This Row],[Net Profit]]/Table32[[#This Row],[Cost]]</f>
        <v>1.5</v>
      </c>
      <c r="M423">
        <v>9115</v>
      </c>
      <c r="N423" s="7">
        <f>Table32[[#This Row],[Cost]]/Table32[[#This Row],[Units Sold]]</f>
        <v>2</v>
      </c>
      <c r="O423">
        <v>3646</v>
      </c>
      <c r="T423" s="1"/>
    </row>
    <row r="424" spans="1:20">
      <c r="A424">
        <v>4</v>
      </c>
      <c r="B424">
        <v>713958</v>
      </c>
      <c r="C424" t="s">
        <v>10</v>
      </c>
      <c r="D424" s="2">
        <v>1369.5</v>
      </c>
      <c r="E424" s="1">
        <v>44013</v>
      </c>
      <c r="F424">
        <v>1</v>
      </c>
      <c r="G424">
        <v>7</v>
      </c>
      <c r="H424">
        <v>2020</v>
      </c>
      <c r="I424" s="5">
        <f>(Table32[[#This Row],[Revenue]]/Table32[[#This Row],[Units Sold]])</f>
        <v>5</v>
      </c>
      <c r="J424" s="5">
        <f>Table32[[#This Row],[revenue/unit]]-Table32[[#This Row],[Cost/unit]]</f>
        <v>3</v>
      </c>
      <c r="K424">
        <f>Table32[[#This Row],[Revenue]]-Table32[[#This Row],[Cost]]</f>
        <v>4108.5</v>
      </c>
      <c r="L424" s="6">
        <f>Table32[[#This Row],[Net Profit]]/Table32[[#This Row],[Cost]]</f>
        <v>1.5</v>
      </c>
      <c r="M424">
        <v>6847.5</v>
      </c>
      <c r="N424" s="7">
        <f>Table32[[#This Row],[Cost]]/Table32[[#This Row],[Units Sold]]</f>
        <v>2</v>
      </c>
      <c r="O424">
        <v>2739</v>
      </c>
      <c r="T424" s="1"/>
    </row>
    <row r="425" spans="1:20">
      <c r="A425">
        <v>2</v>
      </c>
      <c r="B425">
        <v>824253</v>
      </c>
      <c r="C425" t="s">
        <v>10</v>
      </c>
      <c r="D425" s="2">
        <v>3450</v>
      </c>
      <c r="E425" s="1">
        <v>44013</v>
      </c>
      <c r="F425">
        <v>1</v>
      </c>
      <c r="G425">
        <v>7</v>
      </c>
      <c r="H425">
        <v>2020</v>
      </c>
      <c r="I425" s="5">
        <f>(Table32[[#This Row],[Revenue]]/Table32[[#This Row],[Units Sold]])</f>
        <v>5</v>
      </c>
      <c r="J425" s="5">
        <f>Table32[[#This Row],[revenue/unit]]-Table32[[#This Row],[Cost/unit]]</f>
        <v>3</v>
      </c>
      <c r="K425">
        <f>Table32[[#This Row],[Revenue]]-Table32[[#This Row],[Cost]]</f>
        <v>10350</v>
      </c>
      <c r="L425" s="6">
        <f>Table32[[#This Row],[Net Profit]]/Table32[[#This Row],[Cost]]</f>
        <v>1.5</v>
      </c>
      <c r="M425">
        <v>17250</v>
      </c>
      <c r="N425" s="7">
        <f>Table32[[#This Row],[Cost]]/Table32[[#This Row],[Units Sold]]</f>
        <v>2</v>
      </c>
      <c r="O425">
        <v>6900</v>
      </c>
      <c r="T425" s="1"/>
    </row>
    <row r="426" spans="1:20">
      <c r="A426">
        <v>3</v>
      </c>
      <c r="B426">
        <v>288851</v>
      </c>
      <c r="C426" t="s">
        <v>10</v>
      </c>
      <c r="D426" s="2">
        <v>2988</v>
      </c>
      <c r="E426" s="1">
        <v>44013</v>
      </c>
      <c r="F426">
        <v>1</v>
      </c>
      <c r="G426">
        <v>7</v>
      </c>
      <c r="H426">
        <v>2020</v>
      </c>
      <c r="I426" s="5">
        <f>(Table32[[#This Row],[Revenue]]/Table32[[#This Row],[Units Sold]])</f>
        <v>5</v>
      </c>
      <c r="J426" s="5">
        <f>Table32[[#This Row],[revenue/unit]]-Table32[[#This Row],[Cost/unit]]</f>
        <v>3</v>
      </c>
      <c r="K426">
        <f>Table32[[#This Row],[Revenue]]-Table32[[#This Row],[Cost]]</f>
        <v>8964</v>
      </c>
      <c r="L426" s="6">
        <f>Table32[[#This Row],[Net Profit]]/Table32[[#This Row],[Cost]]</f>
        <v>1.5</v>
      </c>
      <c r="M426">
        <v>14940</v>
      </c>
      <c r="N426" s="7">
        <f>Table32[[#This Row],[Cost]]/Table32[[#This Row],[Units Sold]]</f>
        <v>2</v>
      </c>
      <c r="O426">
        <v>5976</v>
      </c>
      <c r="T426" s="1"/>
    </row>
    <row r="427" spans="1:20">
      <c r="A427">
        <v>4</v>
      </c>
      <c r="B427">
        <v>459019</v>
      </c>
      <c r="C427" t="s">
        <v>10</v>
      </c>
      <c r="D427" s="2">
        <v>3513</v>
      </c>
      <c r="E427" s="1">
        <v>44013</v>
      </c>
      <c r="F427">
        <v>1</v>
      </c>
      <c r="G427">
        <v>7</v>
      </c>
      <c r="H427">
        <v>2020</v>
      </c>
      <c r="I427" s="5">
        <f>(Table32[[#This Row],[Revenue]]/Table32[[#This Row],[Units Sold]])</f>
        <v>5</v>
      </c>
      <c r="J427" s="5">
        <f>Table32[[#This Row],[revenue/unit]]-Table32[[#This Row],[Cost/unit]]</f>
        <v>3</v>
      </c>
      <c r="K427">
        <f>Table32[[#This Row],[Revenue]]-Table32[[#This Row],[Cost]]</f>
        <v>10539</v>
      </c>
      <c r="L427" s="6">
        <f>Table32[[#This Row],[Net Profit]]/Table32[[#This Row],[Cost]]</f>
        <v>1.5</v>
      </c>
      <c r="M427">
        <v>17565</v>
      </c>
      <c r="N427" s="7">
        <f>Table32[[#This Row],[Cost]]/Table32[[#This Row],[Units Sold]]</f>
        <v>2</v>
      </c>
      <c r="O427">
        <v>7026</v>
      </c>
      <c r="T427" s="1"/>
    </row>
    <row r="428" spans="1:20">
      <c r="A428">
        <v>3</v>
      </c>
      <c r="B428">
        <v>735406</v>
      </c>
      <c r="C428" t="s">
        <v>10</v>
      </c>
      <c r="D428" s="2">
        <v>2104.5</v>
      </c>
      <c r="E428" s="1">
        <v>44013</v>
      </c>
      <c r="F428">
        <v>1</v>
      </c>
      <c r="G428">
        <v>7</v>
      </c>
      <c r="H428">
        <v>2020</v>
      </c>
      <c r="I428" s="5">
        <f>(Table32[[#This Row],[Revenue]]/Table32[[#This Row],[Units Sold]])</f>
        <v>5</v>
      </c>
      <c r="J428" s="5">
        <f>Table32[[#This Row],[revenue/unit]]-Table32[[#This Row],[Cost/unit]]</f>
        <v>3</v>
      </c>
      <c r="K428">
        <f>Table32[[#This Row],[Revenue]]-Table32[[#This Row],[Cost]]</f>
        <v>6313.5</v>
      </c>
      <c r="L428" s="6">
        <f>Table32[[#This Row],[Net Profit]]/Table32[[#This Row],[Cost]]</f>
        <v>1.5</v>
      </c>
      <c r="M428">
        <v>10522.5</v>
      </c>
      <c r="N428" s="7">
        <f>Table32[[#This Row],[Cost]]/Table32[[#This Row],[Units Sold]]</f>
        <v>2</v>
      </c>
      <c r="O428">
        <v>4209</v>
      </c>
      <c r="T428" s="1"/>
    </row>
    <row r="429" spans="1:20">
      <c r="A429">
        <v>3</v>
      </c>
      <c r="B429">
        <v>253399</v>
      </c>
      <c r="C429" t="s">
        <v>10</v>
      </c>
      <c r="D429" s="2">
        <v>4026</v>
      </c>
      <c r="E429" s="1">
        <v>44013</v>
      </c>
      <c r="F429">
        <v>1</v>
      </c>
      <c r="G429">
        <v>7</v>
      </c>
      <c r="H429">
        <v>2020</v>
      </c>
      <c r="I429" s="5">
        <f>(Table32[[#This Row],[Revenue]]/Table32[[#This Row],[Units Sold]])</f>
        <v>5</v>
      </c>
      <c r="J429" s="5">
        <f>Table32[[#This Row],[revenue/unit]]-Table32[[#This Row],[Cost/unit]]</f>
        <v>3</v>
      </c>
      <c r="K429">
        <f>Table32[[#This Row],[Revenue]]-Table32[[#This Row],[Cost]]</f>
        <v>12078</v>
      </c>
      <c r="L429" s="6">
        <f>Table32[[#This Row],[Net Profit]]/Table32[[#This Row],[Cost]]</f>
        <v>1.5</v>
      </c>
      <c r="M429">
        <v>20130</v>
      </c>
      <c r="N429" s="7">
        <f>Table32[[#This Row],[Cost]]/Table32[[#This Row],[Units Sold]]</f>
        <v>2</v>
      </c>
      <c r="O429">
        <v>8052</v>
      </c>
      <c r="T429" s="1"/>
    </row>
    <row r="430" spans="1:20">
      <c r="A430">
        <v>2</v>
      </c>
      <c r="B430">
        <v>146841</v>
      </c>
      <c r="C430" t="s">
        <v>10</v>
      </c>
      <c r="D430" s="2">
        <v>2425.5</v>
      </c>
      <c r="E430" s="1">
        <v>44013</v>
      </c>
      <c r="F430">
        <v>1</v>
      </c>
      <c r="G430">
        <v>7</v>
      </c>
      <c r="H430">
        <v>2020</v>
      </c>
      <c r="I430" s="5">
        <f>(Table32[[#This Row],[Revenue]]/Table32[[#This Row],[Units Sold]])</f>
        <v>5</v>
      </c>
      <c r="J430" s="5">
        <f>Table32[[#This Row],[revenue/unit]]-Table32[[#This Row],[Cost/unit]]</f>
        <v>3</v>
      </c>
      <c r="K430">
        <f>Table32[[#This Row],[Revenue]]-Table32[[#This Row],[Cost]]</f>
        <v>7276.5</v>
      </c>
      <c r="L430" s="6">
        <f>Table32[[#This Row],[Net Profit]]/Table32[[#This Row],[Cost]]</f>
        <v>1.5</v>
      </c>
      <c r="M430">
        <v>12127.5</v>
      </c>
      <c r="N430" s="7">
        <f>Table32[[#This Row],[Cost]]/Table32[[#This Row],[Units Sold]]</f>
        <v>2</v>
      </c>
      <c r="O430">
        <v>4851</v>
      </c>
      <c r="T430" s="1"/>
    </row>
    <row r="431" spans="1:20">
      <c r="A431">
        <v>4</v>
      </c>
      <c r="B431">
        <v>868182</v>
      </c>
      <c r="C431" t="s">
        <v>10</v>
      </c>
      <c r="D431" s="2">
        <v>571</v>
      </c>
      <c r="E431" s="1">
        <v>44013</v>
      </c>
      <c r="F431">
        <v>1</v>
      </c>
      <c r="G431">
        <v>7</v>
      </c>
      <c r="H431">
        <v>2020</v>
      </c>
      <c r="I431" s="5">
        <f>(Table32[[#This Row],[Revenue]]/Table32[[#This Row],[Units Sold]])</f>
        <v>5</v>
      </c>
      <c r="J431" s="5">
        <f>Table32[[#This Row],[revenue/unit]]-Table32[[#This Row],[Cost/unit]]</f>
        <v>3</v>
      </c>
      <c r="K431">
        <f>Table32[[#This Row],[Revenue]]-Table32[[#This Row],[Cost]]</f>
        <v>1713</v>
      </c>
      <c r="L431" s="6">
        <f>Table32[[#This Row],[Net Profit]]/Table32[[#This Row],[Cost]]</f>
        <v>1.5</v>
      </c>
      <c r="M431">
        <v>2855</v>
      </c>
      <c r="N431" s="7">
        <f>Table32[[#This Row],[Cost]]/Table32[[#This Row],[Units Sold]]</f>
        <v>2</v>
      </c>
      <c r="O431">
        <v>1142</v>
      </c>
      <c r="T431" s="1"/>
    </row>
    <row r="432" spans="1:20">
      <c r="A432">
        <v>4</v>
      </c>
      <c r="B432">
        <v>252717</v>
      </c>
      <c r="C432" t="s">
        <v>11</v>
      </c>
      <c r="D432" s="2">
        <v>2665.5</v>
      </c>
      <c r="E432" s="1">
        <v>44013</v>
      </c>
      <c r="F432">
        <v>1</v>
      </c>
      <c r="G432">
        <v>7</v>
      </c>
      <c r="H432">
        <v>2020</v>
      </c>
      <c r="I432" s="5">
        <f>(Table32[[#This Row],[Revenue]]/Table32[[#This Row],[Units Sold]])</f>
        <v>1</v>
      </c>
      <c r="J432" s="5">
        <f>Table32[[#This Row],[revenue/unit]]-Table32[[#This Row],[Cost/unit]]</f>
        <v>0.5</v>
      </c>
      <c r="K432">
        <f>Table32[[#This Row],[Revenue]]-Table32[[#This Row],[Cost]]</f>
        <v>1332.75</v>
      </c>
      <c r="L432" s="6">
        <f>Table32[[#This Row],[Net Profit]]/Table32[[#This Row],[Cost]]</f>
        <v>1</v>
      </c>
      <c r="M432">
        <v>2665.5</v>
      </c>
      <c r="N432" s="7">
        <f>Table32[[#This Row],[Cost]]/Table32[[#This Row],[Units Sold]]</f>
        <v>0.5</v>
      </c>
      <c r="O432">
        <v>1332.75</v>
      </c>
      <c r="T432" s="1"/>
    </row>
    <row r="433" spans="1:20">
      <c r="A433">
        <v>4</v>
      </c>
      <c r="B433">
        <v>892418</v>
      </c>
      <c r="C433" t="s">
        <v>11</v>
      </c>
      <c r="D433" s="2">
        <v>1375.5</v>
      </c>
      <c r="E433" s="1">
        <v>44013</v>
      </c>
      <c r="F433">
        <v>1</v>
      </c>
      <c r="G433">
        <v>7</v>
      </c>
      <c r="H433">
        <v>2020</v>
      </c>
      <c r="I433" s="5">
        <f>(Table32[[#This Row],[Revenue]]/Table32[[#This Row],[Units Sold]])</f>
        <v>1</v>
      </c>
      <c r="J433" s="5">
        <f>Table32[[#This Row],[revenue/unit]]-Table32[[#This Row],[Cost/unit]]</f>
        <v>0.5</v>
      </c>
      <c r="K433">
        <f>Table32[[#This Row],[Revenue]]-Table32[[#This Row],[Cost]]</f>
        <v>687.75</v>
      </c>
      <c r="L433" s="6">
        <f>Table32[[#This Row],[Net Profit]]/Table32[[#This Row],[Cost]]</f>
        <v>1</v>
      </c>
      <c r="M433">
        <v>1375.5</v>
      </c>
      <c r="N433" s="7">
        <f>Table32[[#This Row],[Cost]]/Table32[[#This Row],[Units Sold]]</f>
        <v>0.5</v>
      </c>
      <c r="O433">
        <v>687.75</v>
      </c>
      <c r="T433" s="1"/>
    </row>
    <row r="434" spans="1:20">
      <c r="A434">
        <v>4</v>
      </c>
      <c r="B434">
        <v>746705</v>
      </c>
      <c r="C434" t="s">
        <v>11</v>
      </c>
      <c r="D434" s="2">
        <v>3627</v>
      </c>
      <c r="E434" s="1">
        <v>44013</v>
      </c>
      <c r="F434">
        <v>1</v>
      </c>
      <c r="G434">
        <v>7</v>
      </c>
      <c r="H434">
        <v>2020</v>
      </c>
      <c r="I434" s="5">
        <f>(Table32[[#This Row],[Revenue]]/Table32[[#This Row],[Units Sold]])</f>
        <v>1</v>
      </c>
      <c r="J434" s="5">
        <f>Table32[[#This Row],[revenue/unit]]-Table32[[#This Row],[Cost/unit]]</f>
        <v>0.5</v>
      </c>
      <c r="K434">
        <f>Table32[[#This Row],[Revenue]]-Table32[[#This Row],[Cost]]</f>
        <v>1813.5</v>
      </c>
      <c r="L434" s="6">
        <f>Table32[[#This Row],[Net Profit]]/Table32[[#This Row],[Cost]]</f>
        <v>1</v>
      </c>
      <c r="M434">
        <v>3627</v>
      </c>
      <c r="N434" s="7">
        <f>Table32[[#This Row],[Cost]]/Table32[[#This Row],[Units Sold]]</f>
        <v>0.5</v>
      </c>
      <c r="O434">
        <v>1813.5</v>
      </c>
      <c r="T434" s="1"/>
    </row>
    <row r="435" spans="1:20">
      <c r="A435">
        <v>4</v>
      </c>
      <c r="B435">
        <v>219898</v>
      </c>
      <c r="C435" t="s">
        <v>11</v>
      </c>
      <c r="D435" s="2">
        <v>645</v>
      </c>
      <c r="E435" s="1">
        <v>44013</v>
      </c>
      <c r="F435">
        <v>1</v>
      </c>
      <c r="G435">
        <v>7</v>
      </c>
      <c r="H435">
        <v>2020</v>
      </c>
      <c r="I435" s="5">
        <f>(Table32[[#This Row],[Revenue]]/Table32[[#This Row],[Units Sold]])</f>
        <v>1</v>
      </c>
      <c r="J435" s="5">
        <f>Table32[[#This Row],[revenue/unit]]-Table32[[#This Row],[Cost/unit]]</f>
        <v>0.5</v>
      </c>
      <c r="K435">
        <f>Table32[[#This Row],[Revenue]]-Table32[[#This Row],[Cost]]</f>
        <v>322.5</v>
      </c>
      <c r="L435" s="6">
        <f>Table32[[#This Row],[Net Profit]]/Table32[[#This Row],[Cost]]</f>
        <v>1</v>
      </c>
      <c r="M435">
        <v>645</v>
      </c>
      <c r="N435" s="7">
        <f>Table32[[#This Row],[Cost]]/Table32[[#This Row],[Units Sold]]</f>
        <v>0.5</v>
      </c>
      <c r="O435">
        <v>322.5</v>
      </c>
      <c r="T435" s="1"/>
    </row>
    <row r="436" spans="1:20">
      <c r="A436">
        <v>3</v>
      </c>
      <c r="B436">
        <v>434964</v>
      </c>
      <c r="C436" t="s">
        <v>11</v>
      </c>
      <c r="D436" s="2">
        <v>2255</v>
      </c>
      <c r="E436" s="1">
        <v>44013</v>
      </c>
      <c r="F436">
        <v>1</v>
      </c>
      <c r="G436">
        <v>7</v>
      </c>
      <c r="H436">
        <v>2020</v>
      </c>
      <c r="I436" s="5">
        <f>(Table32[[#This Row],[Revenue]]/Table32[[#This Row],[Units Sold]])</f>
        <v>1</v>
      </c>
      <c r="J436" s="5">
        <f>Table32[[#This Row],[revenue/unit]]-Table32[[#This Row],[Cost/unit]]</f>
        <v>0.5</v>
      </c>
      <c r="K436">
        <f>Table32[[#This Row],[Revenue]]-Table32[[#This Row],[Cost]]</f>
        <v>1127.5</v>
      </c>
      <c r="L436" s="6">
        <f>Table32[[#This Row],[Net Profit]]/Table32[[#This Row],[Cost]]</f>
        <v>1</v>
      </c>
      <c r="M436">
        <v>2255</v>
      </c>
      <c r="N436" s="7">
        <f>Table32[[#This Row],[Cost]]/Table32[[#This Row],[Units Sold]]</f>
        <v>0.5</v>
      </c>
      <c r="O436">
        <v>1127.5</v>
      </c>
      <c r="T436" s="1"/>
    </row>
    <row r="437" spans="1:20">
      <c r="A437">
        <v>3</v>
      </c>
      <c r="B437">
        <v>754791</v>
      </c>
      <c r="C437" t="s">
        <v>12</v>
      </c>
      <c r="D437" s="2">
        <v>1686</v>
      </c>
      <c r="E437" s="1">
        <v>44013</v>
      </c>
      <c r="F437">
        <v>1</v>
      </c>
      <c r="G437">
        <v>7</v>
      </c>
      <c r="H437">
        <v>2020</v>
      </c>
      <c r="I437" s="5">
        <f>(Table32[[#This Row],[Revenue]]/Table32[[#This Row],[Units Sold]])</f>
        <v>5</v>
      </c>
      <c r="J437" s="5">
        <f>Table32[[#This Row],[revenue/unit]]-Table32[[#This Row],[Cost/unit]]</f>
        <v>2.8</v>
      </c>
      <c r="K437">
        <f>Table32[[#This Row],[Revenue]]-Table32[[#This Row],[Cost]]</f>
        <v>4720.7999999999993</v>
      </c>
      <c r="L437" s="6">
        <f>Table32[[#This Row],[Net Profit]]/Table32[[#This Row],[Cost]]</f>
        <v>1.2727272727272725</v>
      </c>
      <c r="M437">
        <v>8430</v>
      </c>
      <c r="N437" s="7">
        <f>Table32[[#This Row],[Cost]]/Table32[[#This Row],[Units Sold]]</f>
        <v>2.2000000000000002</v>
      </c>
      <c r="O437">
        <v>3709.2000000000003</v>
      </c>
      <c r="T437" s="1"/>
    </row>
    <row r="438" spans="1:20">
      <c r="A438">
        <v>3</v>
      </c>
      <c r="B438">
        <v>602865</v>
      </c>
      <c r="C438" t="s">
        <v>12</v>
      </c>
      <c r="D438" s="2">
        <v>1683</v>
      </c>
      <c r="E438" s="1">
        <v>44013</v>
      </c>
      <c r="F438">
        <v>1</v>
      </c>
      <c r="G438">
        <v>7</v>
      </c>
      <c r="H438">
        <v>2020</v>
      </c>
      <c r="I438" s="5">
        <f>(Table32[[#This Row],[Revenue]]/Table32[[#This Row],[Units Sold]])</f>
        <v>5</v>
      </c>
      <c r="J438" s="5">
        <f>Table32[[#This Row],[revenue/unit]]-Table32[[#This Row],[Cost/unit]]</f>
        <v>2.8</v>
      </c>
      <c r="K438">
        <f>Table32[[#This Row],[Revenue]]-Table32[[#This Row],[Cost]]</f>
        <v>4712.3999999999996</v>
      </c>
      <c r="L438" s="6">
        <f>Table32[[#This Row],[Net Profit]]/Table32[[#This Row],[Cost]]</f>
        <v>1.2727272727272725</v>
      </c>
      <c r="M438">
        <v>8415</v>
      </c>
      <c r="N438" s="7">
        <f>Table32[[#This Row],[Cost]]/Table32[[#This Row],[Units Sold]]</f>
        <v>2.2000000000000002</v>
      </c>
      <c r="O438">
        <v>3702.6000000000004</v>
      </c>
      <c r="T438" s="1"/>
    </row>
    <row r="439" spans="1:20">
      <c r="A439">
        <v>4</v>
      </c>
      <c r="B439">
        <v>571542</v>
      </c>
      <c r="C439" t="s">
        <v>12</v>
      </c>
      <c r="D439" s="2">
        <v>1630.5</v>
      </c>
      <c r="E439" s="1">
        <v>44013</v>
      </c>
      <c r="F439">
        <v>1</v>
      </c>
      <c r="G439">
        <v>7</v>
      </c>
      <c r="H439">
        <v>2020</v>
      </c>
      <c r="I439" s="5">
        <f>(Table32[[#This Row],[Revenue]]/Table32[[#This Row],[Units Sold]])</f>
        <v>5</v>
      </c>
      <c r="J439" s="5">
        <f>Table32[[#This Row],[revenue/unit]]-Table32[[#This Row],[Cost/unit]]</f>
        <v>2.8</v>
      </c>
      <c r="K439">
        <f>Table32[[#This Row],[Revenue]]-Table32[[#This Row],[Cost]]</f>
        <v>4565.3999999999996</v>
      </c>
      <c r="L439" s="6">
        <f>Table32[[#This Row],[Net Profit]]/Table32[[#This Row],[Cost]]</f>
        <v>1.2727272727272725</v>
      </c>
      <c r="M439">
        <v>8152.5</v>
      </c>
      <c r="N439" s="7">
        <f>Table32[[#This Row],[Cost]]/Table32[[#This Row],[Units Sold]]</f>
        <v>2.2000000000000002</v>
      </c>
      <c r="O439">
        <v>3587.1000000000004</v>
      </c>
      <c r="T439" s="1"/>
    </row>
    <row r="440" spans="1:20">
      <c r="A440">
        <v>2</v>
      </c>
      <c r="B440">
        <v>104326</v>
      </c>
      <c r="C440" t="s">
        <v>12</v>
      </c>
      <c r="D440" s="2">
        <v>3199.5</v>
      </c>
      <c r="E440" s="1">
        <v>44013</v>
      </c>
      <c r="F440">
        <v>1</v>
      </c>
      <c r="G440">
        <v>7</v>
      </c>
      <c r="H440">
        <v>2020</v>
      </c>
      <c r="I440" s="5">
        <f>(Table32[[#This Row],[Revenue]]/Table32[[#This Row],[Units Sold]])</f>
        <v>5</v>
      </c>
      <c r="J440" s="5">
        <f>Table32[[#This Row],[revenue/unit]]-Table32[[#This Row],[Cost/unit]]</f>
        <v>2.8</v>
      </c>
      <c r="K440">
        <f>Table32[[#This Row],[Revenue]]-Table32[[#This Row],[Cost]]</f>
        <v>8958.5999999999985</v>
      </c>
      <c r="L440" s="6">
        <f>Table32[[#This Row],[Net Profit]]/Table32[[#This Row],[Cost]]</f>
        <v>1.2727272727272725</v>
      </c>
      <c r="M440">
        <v>15997.5</v>
      </c>
      <c r="N440" s="7">
        <f>Table32[[#This Row],[Cost]]/Table32[[#This Row],[Units Sold]]</f>
        <v>2.2000000000000002</v>
      </c>
      <c r="O440">
        <v>7038.9000000000005</v>
      </c>
      <c r="T440" s="1"/>
    </row>
    <row r="441" spans="1:20">
      <c r="A441">
        <v>3</v>
      </c>
      <c r="B441">
        <v>261362</v>
      </c>
      <c r="C441" t="s">
        <v>12</v>
      </c>
      <c r="D441" s="2">
        <v>3421.5</v>
      </c>
      <c r="E441" s="1">
        <v>44013</v>
      </c>
      <c r="F441">
        <v>1</v>
      </c>
      <c r="G441">
        <v>7</v>
      </c>
      <c r="H441">
        <v>2020</v>
      </c>
      <c r="I441" s="5">
        <f>(Table32[[#This Row],[Revenue]]/Table32[[#This Row],[Units Sold]])</f>
        <v>5</v>
      </c>
      <c r="J441" s="5">
        <f>Table32[[#This Row],[revenue/unit]]-Table32[[#This Row],[Cost/unit]]</f>
        <v>2.8</v>
      </c>
      <c r="K441">
        <f>Table32[[#This Row],[Revenue]]-Table32[[#This Row],[Cost]]</f>
        <v>9580.2000000000007</v>
      </c>
      <c r="L441" s="6">
        <f>Table32[[#This Row],[Net Profit]]/Table32[[#This Row],[Cost]]</f>
        <v>1.2727272727272727</v>
      </c>
      <c r="M441">
        <v>17107.5</v>
      </c>
      <c r="N441" s="7">
        <f>Table32[[#This Row],[Cost]]/Table32[[#This Row],[Units Sold]]</f>
        <v>2.2000000000000002</v>
      </c>
      <c r="O441">
        <v>7527.3</v>
      </c>
      <c r="T441" s="1"/>
    </row>
    <row r="442" spans="1:20">
      <c r="A442">
        <v>5</v>
      </c>
      <c r="B442">
        <v>406431</v>
      </c>
      <c r="C442" t="s">
        <v>13</v>
      </c>
      <c r="D442" s="2">
        <v>2529</v>
      </c>
      <c r="E442" s="1">
        <v>44013</v>
      </c>
      <c r="F442">
        <v>1</v>
      </c>
      <c r="G442">
        <v>7</v>
      </c>
      <c r="H442">
        <v>2020</v>
      </c>
      <c r="I442" s="5">
        <f>(Table32[[#This Row],[Revenue]]/Table32[[#This Row],[Units Sold]])</f>
        <v>4</v>
      </c>
      <c r="J442" s="5">
        <f>Table32[[#This Row],[revenue/unit]]-Table32[[#This Row],[Cost/unit]]</f>
        <v>2.5</v>
      </c>
      <c r="K442">
        <f>Table32[[#This Row],[Revenue]]-Table32[[#This Row],[Cost]]</f>
        <v>6322.5</v>
      </c>
      <c r="L442" s="6">
        <f>Table32[[#This Row],[Net Profit]]/Table32[[#This Row],[Cost]]</f>
        <v>1.6666666666666667</v>
      </c>
      <c r="M442">
        <v>10116</v>
      </c>
      <c r="N442" s="7">
        <f>Table32[[#This Row],[Cost]]/Table32[[#This Row],[Units Sold]]</f>
        <v>1.5</v>
      </c>
      <c r="O442">
        <v>3793.5</v>
      </c>
      <c r="T442" s="1"/>
    </row>
    <row r="443" spans="1:20">
      <c r="A443">
        <v>4</v>
      </c>
      <c r="B443">
        <v>865204</v>
      </c>
      <c r="C443" t="s">
        <v>13</v>
      </c>
      <c r="D443" s="2">
        <v>819</v>
      </c>
      <c r="E443" s="1">
        <v>44013</v>
      </c>
      <c r="F443">
        <v>1</v>
      </c>
      <c r="G443">
        <v>7</v>
      </c>
      <c r="H443">
        <v>2020</v>
      </c>
      <c r="I443" s="5">
        <f>(Table32[[#This Row],[Revenue]]/Table32[[#This Row],[Units Sold]])</f>
        <v>4</v>
      </c>
      <c r="J443" s="5">
        <f>Table32[[#This Row],[revenue/unit]]-Table32[[#This Row],[Cost/unit]]</f>
        <v>2.5</v>
      </c>
      <c r="K443">
        <f>Table32[[#This Row],[Revenue]]-Table32[[#This Row],[Cost]]</f>
        <v>2047.5</v>
      </c>
      <c r="L443" s="6">
        <f>Table32[[#This Row],[Net Profit]]/Table32[[#This Row],[Cost]]</f>
        <v>1.6666666666666667</v>
      </c>
      <c r="M443">
        <v>3276</v>
      </c>
      <c r="N443" s="7">
        <f>Table32[[#This Row],[Cost]]/Table32[[#This Row],[Units Sold]]</f>
        <v>1.5</v>
      </c>
      <c r="O443">
        <v>1228.5</v>
      </c>
      <c r="T443" s="1"/>
    </row>
    <row r="444" spans="1:20">
      <c r="A444">
        <v>2</v>
      </c>
      <c r="B444">
        <v>327555</v>
      </c>
      <c r="C444" t="s">
        <v>13</v>
      </c>
      <c r="D444" s="2">
        <v>2811</v>
      </c>
      <c r="E444" s="1">
        <v>44013</v>
      </c>
      <c r="F444">
        <v>1</v>
      </c>
      <c r="G444">
        <v>7</v>
      </c>
      <c r="H444">
        <v>2020</v>
      </c>
      <c r="I444" s="5">
        <f>(Table32[[#This Row],[Revenue]]/Table32[[#This Row],[Units Sold]])</f>
        <v>4</v>
      </c>
      <c r="J444" s="5">
        <f>Table32[[#This Row],[revenue/unit]]-Table32[[#This Row],[Cost/unit]]</f>
        <v>2.5</v>
      </c>
      <c r="K444">
        <f>Table32[[#This Row],[Revenue]]-Table32[[#This Row],[Cost]]</f>
        <v>7027.5</v>
      </c>
      <c r="L444" s="6">
        <f>Table32[[#This Row],[Net Profit]]/Table32[[#This Row],[Cost]]</f>
        <v>1.6666666666666667</v>
      </c>
      <c r="M444">
        <v>11244</v>
      </c>
      <c r="N444" s="7">
        <f>Table32[[#This Row],[Cost]]/Table32[[#This Row],[Units Sold]]</f>
        <v>1.5</v>
      </c>
      <c r="O444">
        <v>4216.5</v>
      </c>
      <c r="T444" s="1"/>
    </row>
    <row r="445" spans="1:20">
      <c r="A445">
        <v>5</v>
      </c>
      <c r="B445">
        <v>372739</v>
      </c>
      <c r="C445" t="s">
        <v>13</v>
      </c>
      <c r="D445" s="2">
        <v>801</v>
      </c>
      <c r="E445" s="1">
        <v>44013</v>
      </c>
      <c r="F445">
        <v>1</v>
      </c>
      <c r="G445">
        <v>7</v>
      </c>
      <c r="H445">
        <v>2020</v>
      </c>
      <c r="I445" s="5">
        <f>(Table32[[#This Row],[Revenue]]/Table32[[#This Row],[Units Sold]])</f>
        <v>4</v>
      </c>
      <c r="J445" s="5">
        <f>Table32[[#This Row],[revenue/unit]]-Table32[[#This Row],[Cost/unit]]</f>
        <v>2.5</v>
      </c>
      <c r="K445">
        <f>Table32[[#This Row],[Revenue]]-Table32[[#This Row],[Cost]]</f>
        <v>2002.5</v>
      </c>
      <c r="L445" s="6">
        <f>Table32[[#This Row],[Net Profit]]/Table32[[#This Row],[Cost]]</f>
        <v>1.6666666666666667</v>
      </c>
      <c r="M445">
        <v>3204</v>
      </c>
      <c r="N445" s="7">
        <f>Table32[[#This Row],[Cost]]/Table32[[#This Row],[Units Sold]]</f>
        <v>1.5</v>
      </c>
      <c r="O445">
        <v>1201.5</v>
      </c>
      <c r="T445" s="1"/>
    </row>
    <row r="446" spans="1:20">
      <c r="A446">
        <v>2</v>
      </c>
      <c r="B446">
        <v>633142</v>
      </c>
      <c r="C446" t="s">
        <v>14</v>
      </c>
      <c r="D446" s="2">
        <v>436.5</v>
      </c>
      <c r="E446" s="1">
        <v>44013</v>
      </c>
      <c r="F446">
        <v>1</v>
      </c>
      <c r="G446">
        <v>7</v>
      </c>
      <c r="H446">
        <v>2020</v>
      </c>
      <c r="I446" s="5">
        <f>(Table32[[#This Row],[Revenue]]/Table32[[#This Row],[Units Sold]])</f>
        <v>3</v>
      </c>
      <c r="J446" s="5">
        <f>Table32[[#This Row],[revenue/unit]]-Table32[[#This Row],[Cost/unit]]</f>
        <v>1.75</v>
      </c>
      <c r="K446">
        <f>Table32[[#This Row],[Revenue]]-Table32[[#This Row],[Cost]]</f>
        <v>763.875</v>
      </c>
      <c r="L446" s="6">
        <f>Table32[[#This Row],[Net Profit]]/Table32[[#This Row],[Cost]]</f>
        <v>1.4</v>
      </c>
      <c r="M446">
        <v>1309.5</v>
      </c>
      <c r="N446" s="7">
        <f>Table32[[#This Row],[Cost]]/Table32[[#This Row],[Units Sold]]</f>
        <v>1.25</v>
      </c>
      <c r="O446">
        <v>545.625</v>
      </c>
      <c r="T446" s="1"/>
    </row>
    <row r="447" spans="1:20">
      <c r="A447">
        <v>1</v>
      </c>
      <c r="B447">
        <v>485947</v>
      </c>
      <c r="C447" t="s">
        <v>14</v>
      </c>
      <c r="D447" s="2">
        <v>641</v>
      </c>
      <c r="E447" s="1">
        <v>44013</v>
      </c>
      <c r="F447">
        <v>1</v>
      </c>
      <c r="G447">
        <v>7</v>
      </c>
      <c r="H447">
        <v>2020</v>
      </c>
      <c r="I447" s="5">
        <f>(Table32[[#This Row],[Revenue]]/Table32[[#This Row],[Units Sold]])</f>
        <v>3</v>
      </c>
      <c r="J447" s="5">
        <f>Table32[[#This Row],[revenue/unit]]-Table32[[#This Row],[Cost/unit]]</f>
        <v>1.75</v>
      </c>
      <c r="K447">
        <f>Table32[[#This Row],[Revenue]]-Table32[[#This Row],[Cost]]</f>
        <v>1121.75</v>
      </c>
      <c r="L447" s="6">
        <f>Table32[[#This Row],[Net Profit]]/Table32[[#This Row],[Cost]]</f>
        <v>1.4</v>
      </c>
      <c r="M447">
        <v>1923</v>
      </c>
      <c r="N447" s="7">
        <f>Table32[[#This Row],[Cost]]/Table32[[#This Row],[Units Sold]]</f>
        <v>1.25</v>
      </c>
      <c r="O447">
        <v>801.25</v>
      </c>
      <c r="T447" s="1"/>
    </row>
    <row r="448" spans="1:20">
      <c r="A448">
        <v>1</v>
      </c>
      <c r="B448">
        <v>219485</v>
      </c>
      <c r="C448" t="s">
        <v>14</v>
      </c>
      <c r="D448" s="2">
        <v>3874.5</v>
      </c>
      <c r="E448" s="1">
        <v>44013</v>
      </c>
      <c r="F448">
        <v>1</v>
      </c>
      <c r="G448">
        <v>7</v>
      </c>
      <c r="H448">
        <v>2020</v>
      </c>
      <c r="I448" s="5">
        <f>(Table32[[#This Row],[Revenue]]/Table32[[#This Row],[Units Sold]])</f>
        <v>3</v>
      </c>
      <c r="J448" s="5">
        <f>Table32[[#This Row],[revenue/unit]]-Table32[[#This Row],[Cost/unit]]</f>
        <v>1.75</v>
      </c>
      <c r="K448">
        <f>Table32[[#This Row],[Revenue]]-Table32[[#This Row],[Cost]]</f>
        <v>6780.375</v>
      </c>
      <c r="L448" s="6">
        <f>Table32[[#This Row],[Net Profit]]/Table32[[#This Row],[Cost]]</f>
        <v>1.4</v>
      </c>
      <c r="M448">
        <v>11623.5</v>
      </c>
      <c r="N448" s="7">
        <f>Table32[[#This Row],[Cost]]/Table32[[#This Row],[Units Sold]]</f>
        <v>1.25</v>
      </c>
      <c r="O448">
        <v>4843.125</v>
      </c>
      <c r="T448" s="1"/>
    </row>
    <row r="449" spans="1:20">
      <c r="A449">
        <v>1</v>
      </c>
      <c r="B449">
        <v>213778</v>
      </c>
      <c r="C449" t="s">
        <v>14</v>
      </c>
      <c r="D449" s="2">
        <v>865.5</v>
      </c>
      <c r="E449" s="1">
        <v>44013</v>
      </c>
      <c r="F449">
        <v>1</v>
      </c>
      <c r="G449">
        <v>7</v>
      </c>
      <c r="H449">
        <v>2020</v>
      </c>
      <c r="I449" s="5">
        <f>(Table32[[#This Row],[Revenue]]/Table32[[#This Row],[Units Sold]])</f>
        <v>3</v>
      </c>
      <c r="J449" s="5">
        <f>Table32[[#This Row],[revenue/unit]]-Table32[[#This Row],[Cost/unit]]</f>
        <v>1.75</v>
      </c>
      <c r="K449">
        <f>Table32[[#This Row],[Revenue]]-Table32[[#This Row],[Cost]]</f>
        <v>1514.625</v>
      </c>
      <c r="L449" s="6">
        <f>Table32[[#This Row],[Net Profit]]/Table32[[#This Row],[Cost]]</f>
        <v>1.4</v>
      </c>
      <c r="M449">
        <v>2596.5</v>
      </c>
      <c r="N449" s="7">
        <f>Table32[[#This Row],[Cost]]/Table32[[#This Row],[Units Sold]]</f>
        <v>1.25</v>
      </c>
      <c r="O449">
        <v>1081.875</v>
      </c>
      <c r="T449" s="1"/>
    </row>
    <row r="450" spans="1:20">
      <c r="A450">
        <v>4</v>
      </c>
      <c r="B450">
        <v>414407</v>
      </c>
      <c r="C450" t="s">
        <v>14</v>
      </c>
      <c r="D450" s="2">
        <v>492</v>
      </c>
      <c r="E450" s="1">
        <v>44013</v>
      </c>
      <c r="F450">
        <v>1</v>
      </c>
      <c r="G450">
        <v>7</v>
      </c>
      <c r="H450">
        <v>2020</v>
      </c>
      <c r="I450" s="5">
        <f>(Table32[[#This Row],[Revenue]]/Table32[[#This Row],[Units Sold]])</f>
        <v>3</v>
      </c>
      <c r="J450" s="5">
        <f>Table32[[#This Row],[revenue/unit]]-Table32[[#This Row],[Cost/unit]]</f>
        <v>1.75</v>
      </c>
      <c r="K450">
        <f>Table32[[#This Row],[Revenue]]-Table32[[#This Row],[Cost]]</f>
        <v>861</v>
      </c>
      <c r="L450" s="6">
        <f>Table32[[#This Row],[Net Profit]]/Table32[[#This Row],[Cost]]</f>
        <v>1.4</v>
      </c>
      <c r="M450">
        <v>1476</v>
      </c>
      <c r="N450" s="7">
        <f>Table32[[#This Row],[Cost]]/Table32[[#This Row],[Units Sold]]</f>
        <v>1.25</v>
      </c>
      <c r="O450">
        <v>615</v>
      </c>
      <c r="T450" s="1"/>
    </row>
    <row r="451" spans="1:20">
      <c r="A451">
        <v>1</v>
      </c>
      <c r="B451">
        <v>614031</v>
      </c>
      <c r="C451" t="s">
        <v>15</v>
      </c>
      <c r="D451" s="2">
        <v>1659</v>
      </c>
      <c r="E451" s="1">
        <v>44013</v>
      </c>
      <c r="F451">
        <v>1</v>
      </c>
      <c r="G451">
        <v>7</v>
      </c>
      <c r="H451">
        <v>2020</v>
      </c>
      <c r="I451" s="5">
        <f>(Table32[[#This Row],[Revenue]]/Table32[[#This Row],[Units Sold]])</f>
        <v>6</v>
      </c>
      <c r="J451" s="5">
        <f>Table32[[#This Row],[revenue/unit]]-Table32[[#This Row],[Cost/unit]]</f>
        <v>3.25</v>
      </c>
      <c r="K451">
        <f>Table32[[#This Row],[Revenue]]-Table32[[#This Row],[Cost]]</f>
        <v>5391.75</v>
      </c>
      <c r="L451" s="6">
        <f>Table32[[#This Row],[Net Profit]]/Table32[[#This Row],[Cost]]</f>
        <v>1.1818181818181819</v>
      </c>
      <c r="M451">
        <v>9954</v>
      </c>
      <c r="N451" s="7">
        <f>Table32[[#This Row],[Cost]]/Table32[[#This Row],[Units Sold]]</f>
        <v>2.75</v>
      </c>
      <c r="O451">
        <v>4562.25</v>
      </c>
      <c r="T451" s="1"/>
    </row>
    <row r="452" spans="1:20">
      <c r="A452">
        <v>4</v>
      </c>
      <c r="B452">
        <v>710702</v>
      </c>
      <c r="C452" t="s">
        <v>15</v>
      </c>
      <c r="D452" s="2">
        <v>3793.5</v>
      </c>
      <c r="E452" s="1">
        <v>44013</v>
      </c>
      <c r="F452">
        <v>1</v>
      </c>
      <c r="G452">
        <v>7</v>
      </c>
      <c r="H452">
        <v>2020</v>
      </c>
      <c r="I452" s="5">
        <f>(Table32[[#This Row],[Revenue]]/Table32[[#This Row],[Units Sold]])</f>
        <v>6</v>
      </c>
      <c r="J452" s="5">
        <f>Table32[[#This Row],[revenue/unit]]-Table32[[#This Row],[Cost/unit]]</f>
        <v>3.25</v>
      </c>
      <c r="K452">
        <f>Table32[[#This Row],[Revenue]]-Table32[[#This Row],[Cost]]</f>
        <v>12328.875</v>
      </c>
      <c r="L452" s="6">
        <f>Table32[[#This Row],[Net Profit]]/Table32[[#This Row],[Cost]]</f>
        <v>1.1818181818181819</v>
      </c>
      <c r="M452">
        <v>22761</v>
      </c>
      <c r="N452" s="7">
        <f>Table32[[#This Row],[Cost]]/Table32[[#This Row],[Units Sold]]</f>
        <v>2.75</v>
      </c>
      <c r="O452">
        <v>10432.125</v>
      </c>
      <c r="T452" s="1"/>
    </row>
    <row r="453" spans="1:20">
      <c r="A453">
        <v>4</v>
      </c>
      <c r="B453">
        <v>696979</v>
      </c>
      <c r="C453" t="s">
        <v>15</v>
      </c>
      <c r="D453" s="2">
        <v>1307</v>
      </c>
      <c r="E453" s="1">
        <v>44013</v>
      </c>
      <c r="F453">
        <v>1</v>
      </c>
      <c r="G453">
        <v>7</v>
      </c>
      <c r="H453">
        <v>2020</v>
      </c>
      <c r="I453" s="5">
        <f>(Table32[[#This Row],[Revenue]]/Table32[[#This Row],[Units Sold]])</f>
        <v>6</v>
      </c>
      <c r="J453" s="5">
        <f>Table32[[#This Row],[revenue/unit]]-Table32[[#This Row],[Cost/unit]]</f>
        <v>3.25</v>
      </c>
      <c r="K453">
        <f>Table32[[#This Row],[Revenue]]-Table32[[#This Row],[Cost]]</f>
        <v>4247.75</v>
      </c>
      <c r="L453" s="6">
        <f>Table32[[#This Row],[Net Profit]]/Table32[[#This Row],[Cost]]</f>
        <v>1.1818181818181819</v>
      </c>
      <c r="M453">
        <v>7842</v>
      </c>
      <c r="N453" s="7">
        <f>Table32[[#This Row],[Cost]]/Table32[[#This Row],[Units Sold]]</f>
        <v>2.75</v>
      </c>
      <c r="O453">
        <v>3594.25</v>
      </c>
      <c r="T453" s="1"/>
    </row>
    <row r="454" spans="1:20">
      <c r="A454">
        <v>2</v>
      </c>
      <c r="B454">
        <v>897372</v>
      </c>
      <c r="C454" t="s">
        <v>15</v>
      </c>
      <c r="D454" s="2">
        <v>639</v>
      </c>
      <c r="E454" s="1">
        <v>44013</v>
      </c>
      <c r="F454">
        <v>1</v>
      </c>
      <c r="G454">
        <v>7</v>
      </c>
      <c r="H454">
        <v>2020</v>
      </c>
      <c r="I454" s="5">
        <f>(Table32[[#This Row],[Revenue]]/Table32[[#This Row],[Units Sold]])</f>
        <v>6</v>
      </c>
      <c r="J454" s="5">
        <f>Table32[[#This Row],[revenue/unit]]-Table32[[#This Row],[Cost/unit]]</f>
        <v>3.25</v>
      </c>
      <c r="K454">
        <f>Table32[[#This Row],[Revenue]]-Table32[[#This Row],[Cost]]</f>
        <v>2076.75</v>
      </c>
      <c r="L454" s="6">
        <f>Table32[[#This Row],[Net Profit]]/Table32[[#This Row],[Cost]]</f>
        <v>1.1818181818181819</v>
      </c>
      <c r="M454">
        <v>3834</v>
      </c>
      <c r="N454" s="7">
        <f>Table32[[#This Row],[Cost]]/Table32[[#This Row],[Units Sold]]</f>
        <v>2.75</v>
      </c>
      <c r="O454">
        <v>1757.25</v>
      </c>
      <c r="T454" s="1"/>
    </row>
    <row r="455" spans="1:20">
      <c r="A455">
        <v>2</v>
      </c>
      <c r="B455">
        <v>638098</v>
      </c>
      <c r="C455" t="s">
        <v>15</v>
      </c>
      <c r="D455" s="2">
        <v>1395</v>
      </c>
      <c r="E455" s="1">
        <v>44013</v>
      </c>
      <c r="F455">
        <v>1</v>
      </c>
      <c r="G455">
        <v>7</v>
      </c>
      <c r="H455">
        <v>2020</v>
      </c>
      <c r="I455" s="5">
        <f>(Table32[[#This Row],[Revenue]]/Table32[[#This Row],[Units Sold]])</f>
        <v>6</v>
      </c>
      <c r="J455" s="5">
        <f>Table32[[#This Row],[revenue/unit]]-Table32[[#This Row],[Cost/unit]]</f>
        <v>3.25</v>
      </c>
      <c r="K455">
        <f>Table32[[#This Row],[Revenue]]-Table32[[#This Row],[Cost]]</f>
        <v>4533.75</v>
      </c>
      <c r="L455" s="6">
        <f>Table32[[#This Row],[Net Profit]]/Table32[[#This Row],[Cost]]</f>
        <v>1.1818181818181819</v>
      </c>
      <c r="M455">
        <v>8370</v>
      </c>
      <c r="N455" s="7">
        <f>Table32[[#This Row],[Cost]]/Table32[[#This Row],[Units Sold]]</f>
        <v>2.75</v>
      </c>
      <c r="O455">
        <v>3836.25</v>
      </c>
      <c r="T455" s="1"/>
    </row>
    <row r="456" spans="1:20">
      <c r="A456">
        <v>4</v>
      </c>
      <c r="B456">
        <v>233911</v>
      </c>
      <c r="C456" t="s">
        <v>15</v>
      </c>
      <c r="D456" s="2">
        <v>2460</v>
      </c>
      <c r="E456" s="1">
        <v>44013</v>
      </c>
      <c r="F456">
        <v>1</v>
      </c>
      <c r="G456">
        <v>7</v>
      </c>
      <c r="H456">
        <v>2020</v>
      </c>
      <c r="I456" s="5">
        <f>(Table32[[#This Row],[Revenue]]/Table32[[#This Row],[Units Sold]])</f>
        <v>6</v>
      </c>
      <c r="J456" s="5">
        <f>Table32[[#This Row],[revenue/unit]]-Table32[[#This Row],[Cost/unit]]</f>
        <v>3.25</v>
      </c>
      <c r="K456">
        <f>Table32[[#This Row],[Revenue]]-Table32[[#This Row],[Cost]]</f>
        <v>7995</v>
      </c>
      <c r="L456" s="6">
        <f>Table32[[#This Row],[Net Profit]]/Table32[[#This Row],[Cost]]</f>
        <v>1.1818181818181819</v>
      </c>
      <c r="M456">
        <v>14760</v>
      </c>
      <c r="N456" s="7">
        <f>Table32[[#This Row],[Cost]]/Table32[[#This Row],[Units Sold]]</f>
        <v>2.75</v>
      </c>
      <c r="O456">
        <v>6765</v>
      </c>
      <c r="T456" s="1"/>
    </row>
    <row r="457" spans="1:20">
      <c r="A457">
        <v>5</v>
      </c>
      <c r="B457">
        <v>889571</v>
      </c>
      <c r="C457" t="s">
        <v>10</v>
      </c>
      <c r="D457" s="2">
        <v>883</v>
      </c>
      <c r="E457" s="1">
        <v>44044</v>
      </c>
      <c r="F457">
        <v>1</v>
      </c>
      <c r="G457">
        <v>8</v>
      </c>
      <c r="H457">
        <v>2020</v>
      </c>
      <c r="I457" s="5">
        <f>(Table32[[#This Row],[Revenue]]/Table32[[#This Row],[Units Sold]])</f>
        <v>5</v>
      </c>
      <c r="J457" s="5">
        <f>Table32[[#This Row],[revenue/unit]]-Table32[[#This Row],[Cost/unit]]</f>
        <v>3</v>
      </c>
      <c r="K457">
        <f>Table32[[#This Row],[Revenue]]-Table32[[#This Row],[Cost]]</f>
        <v>2649</v>
      </c>
      <c r="L457" s="6">
        <f>Table32[[#This Row],[Net Profit]]/Table32[[#This Row],[Cost]]</f>
        <v>1.5</v>
      </c>
      <c r="M457">
        <v>4415</v>
      </c>
      <c r="N457" s="7">
        <f>Table32[[#This Row],[Cost]]/Table32[[#This Row],[Units Sold]]</f>
        <v>2</v>
      </c>
      <c r="O457">
        <v>1766</v>
      </c>
      <c r="T457" s="1"/>
    </row>
    <row r="458" spans="1:20">
      <c r="A458">
        <v>3</v>
      </c>
      <c r="B458">
        <v>698245</v>
      </c>
      <c r="C458" t="s">
        <v>10</v>
      </c>
      <c r="D458" s="2">
        <v>2198</v>
      </c>
      <c r="E458" s="1">
        <v>44044</v>
      </c>
      <c r="F458">
        <v>1</v>
      </c>
      <c r="G458">
        <v>8</v>
      </c>
      <c r="H458">
        <v>2020</v>
      </c>
      <c r="I458" s="5">
        <f>(Table32[[#This Row],[Revenue]]/Table32[[#This Row],[Units Sold]])</f>
        <v>5</v>
      </c>
      <c r="J458" s="5">
        <f>Table32[[#This Row],[revenue/unit]]-Table32[[#This Row],[Cost/unit]]</f>
        <v>3</v>
      </c>
      <c r="K458">
        <f>Table32[[#This Row],[Revenue]]-Table32[[#This Row],[Cost]]</f>
        <v>6594</v>
      </c>
      <c r="L458" s="6">
        <f>Table32[[#This Row],[Net Profit]]/Table32[[#This Row],[Cost]]</f>
        <v>1.5</v>
      </c>
      <c r="M458">
        <v>10990</v>
      </c>
      <c r="N458" s="7">
        <f>Table32[[#This Row],[Cost]]/Table32[[#This Row],[Units Sold]]</f>
        <v>2</v>
      </c>
      <c r="O458">
        <v>4396</v>
      </c>
      <c r="T458" s="1"/>
    </row>
    <row r="459" spans="1:20">
      <c r="A459">
        <v>4</v>
      </c>
      <c r="B459">
        <v>796346</v>
      </c>
      <c r="C459" t="s">
        <v>10</v>
      </c>
      <c r="D459" s="2">
        <v>1743</v>
      </c>
      <c r="E459" s="1">
        <v>44044</v>
      </c>
      <c r="F459">
        <v>1</v>
      </c>
      <c r="G459">
        <v>8</v>
      </c>
      <c r="H459">
        <v>2020</v>
      </c>
      <c r="I459" s="5">
        <f>(Table32[[#This Row],[Revenue]]/Table32[[#This Row],[Units Sold]])</f>
        <v>5</v>
      </c>
      <c r="J459" s="5">
        <f>Table32[[#This Row],[revenue/unit]]-Table32[[#This Row],[Cost/unit]]</f>
        <v>3</v>
      </c>
      <c r="K459">
        <f>Table32[[#This Row],[Revenue]]-Table32[[#This Row],[Cost]]</f>
        <v>5229</v>
      </c>
      <c r="L459" s="6">
        <f>Table32[[#This Row],[Net Profit]]/Table32[[#This Row],[Cost]]</f>
        <v>1.5</v>
      </c>
      <c r="M459">
        <v>8715</v>
      </c>
      <c r="N459" s="7">
        <f>Table32[[#This Row],[Cost]]/Table32[[#This Row],[Units Sold]]</f>
        <v>2</v>
      </c>
      <c r="O459">
        <v>3486</v>
      </c>
      <c r="T459" s="1"/>
    </row>
    <row r="460" spans="1:20">
      <c r="A460">
        <v>5</v>
      </c>
      <c r="B460">
        <v>126864</v>
      </c>
      <c r="C460" t="s">
        <v>10</v>
      </c>
      <c r="D460" s="2">
        <v>2101</v>
      </c>
      <c r="E460" s="1">
        <v>44044</v>
      </c>
      <c r="F460">
        <v>1</v>
      </c>
      <c r="G460">
        <v>8</v>
      </c>
      <c r="H460">
        <v>2020</v>
      </c>
      <c r="I460" s="5">
        <f>(Table32[[#This Row],[Revenue]]/Table32[[#This Row],[Units Sold]])</f>
        <v>5</v>
      </c>
      <c r="J460" s="5">
        <f>Table32[[#This Row],[revenue/unit]]-Table32[[#This Row],[Cost/unit]]</f>
        <v>3</v>
      </c>
      <c r="K460">
        <f>Table32[[#This Row],[Revenue]]-Table32[[#This Row],[Cost]]</f>
        <v>6303</v>
      </c>
      <c r="L460" s="6">
        <f>Table32[[#This Row],[Net Profit]]/Table32[[#This Row],[Cost]]</f>
        <v>1.5</v>
      </c>
      <c r="M460">
        <v>10505</v>
      </c>
      <c r="N460" s="7">
        <f>Table32[[#This Row],[Cost]]/Table32[[#This Row],[Units Sold]]</f>
        <v>2</v>
      </c>
      <c r="O460">
        <v>4202</v>
      </c>
      <c r="T460" s="1"/>
    </row>
    <row r="461" spans="1:20">
      <c r="A461">
        <v>5</v>
      </c>
      <c r="B461">
        <v>456841</v>
      </c>
      <c r="C461" t="s">
        <v>10</v>
      </c>
      <c r="D461" s="2">
        <v>678</v>
      </c>
      <c r="E461" s="1">
        <v>44044</v>
      </c>
      <c r="F461">
        <v>1</v>
      </c>
      <c r="G461">
        <v>8</v>
      </c>
      <c r="H461">
        <v>2020</v>
      </c>
      <c r="I461" s="5">
        <f>(Table32[[#This Row],[Revenue]]/Table32[[#This Row],[Units Sold]])</f>
        <v>5</v>
      </c>
      <c r="J461" s="5">
        <f>Table32[[#This Row],[revenue/unit]]-Table32[[#This Row],[Cost/unit]]</f>
        <v>3</v>
      </c>
      <c r="K461">
        <f>Table32[[#This Row],[Revenue]]-Table32[[#This Row],[Cost]]</f>
        <v>2034</v>
      </c>
      <c r="L461" s="6">
        <f>Table32[[#This Row],[Net Profit]]/Table32[[#This Row],[Cost]]</f>
        <v>1.5</v>
      </c>
      <c r="M461">
        <v>3390</v>
      </c>
      <c r="N461" s="7">
        <f>Table32[[#This Row],[Cost]]/Table32[[#This Row],[Units Sold]]</f>
        <v>2</v>
      </c>
      <c r="O461">
        <v>1356</v>
      </c>
      <c r="T461" s="1"/>
    </row>
    <row r="462" spans="1:20">
      <c r="A462">
        <v>3</v>
      </c>
      <c r="B462">
        <v>513469</v>
      </c>
      <c r="C462" t="s">
        <v>10</v>
      </c>
      <c r="D462" s="2">
        <v>1598</v>
      </c>
      <c r="E462" s="1">
        <v>44044</v>
      </c>
      <c r="F462">
        <v>1</v>
      </c>
      <c r="G462">
        <v>8</v>
      </c>
      <c r="H462">
        <v>2020</v>
      </c>
      <c r="I462" s="5">
        <f>(Table32[[#This Row],[Revenue]]/Table32[[#This Row],[Units Sold]])</f>
        <v>5</v>
      </c>
      <c r="J462" s="5">
        <f>Table32[[#This Row],[revenue/unit]]-Table32[[#This Row],[Cost/unit]]</f>
        <v>3</v>
      </c>
      <c r="K462">
        <f>Table32[[#This Row],[Revenue]]-Table32[[#This Row],[Cost]]</f>
        <v>4794</v>
      </c>
      <c r="L462" s="6">
        <f>Table32[[#This Row],[Net Profit]]/Table32[[#This Row],[Cost]]</f>
        <v>1.5</v>
      </c>
      <c r="M462">
        <v>7990</v>
      </c>
      <c r="N462" s="7">
        <f>Table32[[#This Row],[Cost]]/Table32[[#This Row],[Units Sold]]</f>
        <v>2</v>
      </c>
      <c r="O462">
        <v>3196</v>
      </c>
      <c r="T462" s="1"/>
    </row>
    <row r="463" spans="1:20">
      <c r="A463">
        <v>4</v>
      </c>
      <c r="B463">
        <v>466133</v>
      </c>
      <c r="C463" t="s">
        <v>10</v>
      </c>
      <c r="D463" s="2">
        <v>2394</v>
      </c>
      <c r="E463" s="1">
        <v>44044</v>
      </c>
      <c r="F463">
        <v>1</v>
      </c>
      <c r="G463">
        <v>8</v>
      </c>
      <c r="H463">
        <v>2020</v>
      </c>
      <c r="I463" s="5">
        <f>(Table32[[#This Row],[Revenue]]/Table32[[#This Row],[Units Sold]])</f>
        <v>5</v>
      </c>
      <c r="J463" s="5">
        <f>Table32[[#This Row],[revenue/unit]]-Table32[[#This Row],[Cost/unit]]</f>
        <v>3</v>
      </c>
      <c r="K463">
        <f>Table32[[#This Row],[Revenue]]-Table32[[#This Row],[Cost]]</f>
        <v>7182</v>
      </c>
      <c r="L463" s="6">
        <f>Table32[[#This Row],[Net Profit]]/Table32[[#This Row],[Cost]]</f>
        <v>1.5</v>
      </c>
      <c r="M463">
        <v>11970</v>
      </c>
      <c r="N463" s="7">
        <f>Table32[[#This Row],[Cost]]/Table32[[#This Row],[Units Sold]]</f>
        <v>2</v>
      </c>
      <c r="O463">
        <v>4788</v>
      </c>
      <c r="T463" s="1"/>
    </row>
    <row r="464" spans="1:20">
      <c r="A464">
        <v>3</v>
      </c>
      <c r="B464">
        <v>159484</v>
      </c>
      <c r="C464" t="s">
        <v>10</v>
      </c>
      <c r="D464" s="2">
        <v>1984</v>
      </c>
      <c r="E464" s="1">
        <v>44044</v>
      </c>
      <c r="F464">
        <v>1</v>
      </c>
      <c r="G464">
        <v>8</v>
      </c>
      <c r="H464">
        <v>2020</v>
      </c>
      <c r="I464" s="5">
        <f>(Table32[[#This Row],[Revenue]]/Table32[[#This Row],[Units Sold]])</f>
        <v>5</v>
      </c>
      <c r="J464" s="5">
        <f>Table32[[#This Row],[revenue/unit]]-Table32[[#This Row],[Cost/unit]]</f>
        <v>3</v>
      </c>
      <c r="K464">
        <f>Table32[[#This Row],[Revenue]]-Table32[[#This Row],[Cost]]</f>
        <v>5952</v>
      </c>
      <c r="L464" s="6">
        <f>Table32[[#This Row],[Net Profit]]/Table32[[#This Row],[Cost]]</f>
        <v>1.5</v>
      </c>
      <c r="M464">
        <v>9920</v>
      </c>
      <c r="N464" s="7">
        <f>Table32[[#This Row],[Cost]]/Table32[[#This Row],[Units Sold]]</f>
        <v>2</v>
      </c>
      <c r="O464">
        <v>3968</v>
      </c>
      <c r="T464" s="1"/>
    </row>
    <row r="465" spans="1:20">
      <c r="A465">
        <v>3</v>
      </c>
      <c r="B465">
        <v>121808</v>
      </c>
      <c r="C465" t="s">
        <v>10</v>
      </c>
      <c r="D465" s="2">
        <v>2696</v>
      </c>
      <c r="E465" s="1">
        <v>44044</v>
      </c>
      <c r="F465">
        <v>1</v>
      </c>
      <c r="G465">
        <v>8</v>
      </c>
      <c r="H465">
        <v>2020</v>
      </c>
      <c r="I465" s="5">
        <f>(Table32[[#This Row],[Revenue]]/Table32[[#This Row],[Units Sold]])</f>
        <v>5</v>
      </c>
      <c r="J465" s="5">
        <f>Table32[[#This Row],[revenue/unit]]-Table32[[#This Row],[Cost/unit]]</f>
        <v>3</v>
      </c>
      <c r="K465">
        <f>Table32[[#This Row],[Revenue]]-Table32[[#This Row],[Cost]]</f>
        <v>8088</v>
      </c>
      <c r="L465" s="6">
        <f>Table32[[#This Row],[Net Profit]]/Table32[[#This Row],[Cost]]</f>
        <v>1.5</v>
      </c>
      <c r="M465">
        <v>13480</v>
      </c>
      <c r="N465" s="7">
        <f>Table32[[#This Row],[Cost]]/Table32[[#This Row],[Units Sold]]</f>
        <v>2</v>
      </c>
      <c r="O465">
        <v>5392</v>
      </c>
      <c r="T465" s="1"/>
    </row>
    <row r="466" spans="1:20">
      <c r="A466">
        <v>3</v>
      </c>
      <c r="B466">
        <v>408804</v>
      </c>
      <c r="C466" t="s">
        <v>10</v>
      </c>
      <c r="D466" s="2">
        <v>2559</v>
      </c>
      <c r="E466" s="1">
        <v>44044</v>
      </c>
      <c r="F466">
        <v>1</v>
      </c>
      <c r="G466">
        <v>8</v>
      </c>
      <c r="H466">
        <v>2020</v>
      </c>
      <c r="I466" s="5">
        <f>(Table32[[#This Row],[Revenue]]/Table32[[#This Row],[Units Sold]])</f>
        <v>5</v>
      </c>
      <c r="J466" s="5">
        <f>Table32[[#This Row],[revenue/unit]]-Table32[[#This Row],[Cost/unit]]</f>
        <v>3</v>
      </c>
      <c r="K466">
        <f>Table32[[#This Row],[Revenue]]-Table32[[#This Row],[Cost]]</f>
        <v>7677</v>
      </c>
      <c r="L466" s="6">
        <f>Table32[[#This Row],[Net Profit]]/Table32[[#This Row],[Cost]]</f>
        <v>1.5</v>
      </c>
      <c r="M466">
        <v>12795</v>
      </c>
      <c r="N466" s="7">
        <f>Table32[[#This Row],[Cost]]/Table32[[#This Row],[Units Sold]]</f>
        <v>2</v>
      </c>
      <c r="O466">
        <v>5118</v>
      </c>
      <c r="T466" s="1"/>
    </row>
    <row r="467" spans="1:20">
      <c r="A467">
        <v>3</v>
      </c>
      <c r="B467">
        <v>440487</v>
      </c>
      <c r="C467" t="s">
        <v>11</v>
      </c>
      <c r="D467" s="2">
        <v>958</v>
      </c>
      <c r="E467" s="1">
        <v>44044</v>
      </c>
      <c r="F467">
        <v>1</v>
      </c>
      <c r="G467">
        <v>8</v>
      </c>
      <c r="H467">
        <v>2020</v>
      </c>
      <c r="I467" s="5">
        <f>(Table32[[#This Row],[Revenue]]/Table32[[#This Row],[Units Sold]])</f>
        <v>1</v>
      </c>
      <c r="J467" s="5">
        <f>Table32[[#This Row],[revenue/unit]]-Table32[[#This Row],[Cost/unit]]</f>
        <v>0.5</v>
      </c>
      <c r="K467">
        <f>Table32[[#This Row],[Revenue]]-Table32[[#This Row],[Cost]]</f>
        <v>479</v>
      </c>
      <c r="L467" s="6">
        <f>Table32[[#This Row],[Net Profit]]/Table32[[#This Row],[Cost]]</f>
        <v>1</v>
      </c>
      <c r="M467">
        <v>958</v>
      </c>
      <c r="N467" s="7">
        <f>Table32[[#This Row],[Cost]]/Table32[[#This Row],[Units Sold]]</f>
        <v>0.5</v>
      </c>
      <c r="O467">
        <v>479</v>
      </c>
      <c r="T467" s="1"/>
    </row>
    <row r="468" spans="1:20">
      <c r="A468">
        <v>4</v>
      </c>
      <c r="B468">
        <v>459280</v>
      </c>
      <c r="C468" t="s">
        <v>11</v>
      </c>
      <c r="D468" s="2">
        <v>1830</v>
      </c>
      <c r="E468" s="1">
        <v>44044</v>
      </c>
      <c r="F468">
        <v>1</v>
      </c>
      <c r="G468">
        <v>8</v>
      </c>
      <c r="H468">
        <v>2020</v>
      </c>
      <c r="I468" s="5">
        <f>(Table32[[#This Row],[Revenue]]/Table32[[#This Row],[Units Sold]])</f>
        <v>1</v>
      </c>
      <c r="J468" s="5">
        <f>Table32[[#This Row],[revenue/unit]]-Table32[[#This Row],[Cost/unit]]</f>
        <v>0.5</v>
      </c>
      <c r="K468">
        <f>Table32[[#This Row],[Revenue]]-Table32[[#This Row],[Cost]]</f>
        <v>915</v>
      </c>
      <c r="L468" s="6">
        <f>Table32[[#This Row],[Net Profit]]/Table32[[#This Row],[Cost]]</f>
        <v>1</v>
      </c>
      <c r="M468">
        <v>1830</v>
      </c>
      <c r="N468" s="7">
        <f>Table32[[#This Row],[Cost]]/Table32[[#This Row],[Units Sold]]</f>
        <v>0.5</v>
      </c>
      <c r="O468">
        <v>915</v>
      </c>
      <c r="T468" s="1"/>
    </row>
    <row r="469" spans="1:20">
      <c r="A469">
        <v>3</v>
      </c>
      <c r="B469">
        <v>539522</v>
      </c>
      <c r="C469" t="s">
        <v>11</v>
      </c>
      <c r="D469" s="2">
        <v>1859</v>
      </c>
      <c r="E469" s="1">
        <v>44044</v>
      </c>
      <c r="F469">
        <v>1</v>
      </c>
      <c r="G469">
        <v>8</v>
      </c>
      <c r="H469">
        <v>2020</v>
      </c>
      <c r="I469" s="5">
        <f>(Table32[[#This Row],[Revenue]]/Table32[[#This Row],[Units Sold]])</f>
        <v>1</v>
      </c>
      <c r="J469" s="5">
        <f>Table32[[#This Row],[revenue/unit]]-Table32[[#This Row],[Cost/unit]]</f>
        <v>0.5</v>
      </c>
      <c r="K469">
        <f>Table32[[#This Row],[Revenue]]-Table32[[#This Row],[Cost]]</f>
        <v>929.5</v>
      </c>
      <c r="L469" s="6">
        <f>Table32[[#This Row],[Net Profit]]/Table32[[#This Row],[Cost]]</f>
        <v>1</v>
      </c>
      <c r="M469">
        <v>1859</v>
      </c>
      <c r="N469" s="7">
        <f>Table32[[#This Row],[Cost]]/Table32[[#This Row],[Units Sold]]</f>
        <v>0.5</v>
      </c>
      <c r="O469">
        <v>929.5</v>
      </c>
      <c r="T469" s="1"/>
    </row>
    <row r="470" spans="1:20">
      <c r="A470">
        <v>3</v>
      </c>
      <c r="B470">
        <v>141979</v>
      </c>
      <c r="C470" t="s">
        <v>11</v>
      </c>
      <c r="D470" s="2">
        <v>1562</v>
      </c>
      <c r="E470" s="1">
        <v>44044</v>
      </c>
      <c r="F470">
        <v>1</v>
      </c>
      <c r="G470">
        <v>8</v>
      </c>
      <c r="H470">
        <v>2020</v>
      </c>
      <c r="I470" s="5">
        <f>(Table32[[#This Row],[Revenue]]/Table32[[#This Row],[Units Sold]])</f>
        <v>1</v>
      </c>
      <c r="J470" s="5">
        <f>Table32[[#This Row],[revenue/unit]]-Table32[[#This Row],[Cost/unit]]</f>
        <v>0.5</v>
      </c>
      <c r="K470">
        <f>Table32[[#This Row],[Revenue]]-Table32[[#This Row],[Cost]]</f>
        <v>781</v>
      </c>
      <c r="L470" s="6">
        <f>Table32[[#This Row],[Net Profit]]/Table32[[#This Row],[Cost]]</f>
        <v>1</v>
      </c>
      <c r="M470">
        <v>1562</v>
      </c>
      <c r="N470" s="7">
        <f>Table32[[#This Row],[Cost]]/Table32[[#This Row],[Units Sold]]</f>
        <v>0.5</v>
      </c>
      <c r="O470">
        <v>781</v>
      </c>
      <c r="T470" s="1"/>
    </row>
    <row r="471" spans="1:20">
      <c r="A471">
        <v>2</v>
      </c>
      <c r="B471">
        <v>348619</v>
      </c>
      <c r="C471" t="s">
        <v>12</v>
      </c>
      <c r="D471" s="2">
        <v>2141</v>
      </c>
      <c r="E471" s="1">
        <v>44044</v>
      </c>
      <c r="F471">
        <v>1</v>
      </c>
      <c r="G471">
        <v>8</v>
      </c>
      <c r="H471">
        <v>2020</v>
      </c>
      <c r="I471" s="5">
        <f>(Table32[[#This Row],[Revenue]]/Table32[[#This Row],[Units Sold]])</f>
        <v>5</v>
      </c>
      <c r="J471" s="5">
        <f>Table32[[#This Row],[revenue/unit]]-Table32[[#This Row],[Cost/unit]]</f>
        <v>2.8</v>
      </c>
      <c r="K471">
        <f>Table32[[#This Row],[Revenue]]-Table32[[#This Row],[Cost]]</f>
        <v>5994.7999999999993</v>
      </c>
      <c r="L471" s="6">
        <f>Table32[[#This Row],[Net Profit]]/Table32[[#This Row],[Cost]]</f>
        <v>1.2727272727272725</v>
      </c>
      <c r="M471">
        <v>10705</v>
      </c>
      <c r="N471" s="7">
        <f>Table32[[#This Row],[Cost]]/Table32[[#This Row],[Units Sold]]</f>
        <v>2.2000000000000002</v>
      </c>
      <c r="O471">
        <v>4710.2000000000007</v>
      </c>
      <c r="T471" s="1"/>
    </row>
    <row r="472" spans="1:20">
      <c r="A472">
        <v>2</v>
      </c>
      <c r="B472">
        <v>304458</v>
      </c>
      <c r="C472" t="s">
        <v>12</v>
      </c>
      <c r="D472" s="2">
        <v>1123</v>
      </c>
      <c r="E472" s="1">
        <v>44044</v>
      </c>
      <c r="F472">
        <v>1</v>
      </c>
      <c r="G472">
        <v>8</v>
      </c>
      <c r="H472">
        <v>2020</v>
      </c>
      <c r="I472" s="5">
        <f>(Table32[[#This Row],[Revenue]]/Table32[[#This Row],[Units Sold]])</f>
        <v>5</v>
      </c>
      <c r="J472" s="5">
        <f>Table32[[#This Row],[revenue/unit]]-Table32[[#This Row],[Cost/unit]]</f>
        <v>2.8</v>
      </c>
      <c r="K472">
        <f>Table32[[#This Row],[Revenue]]-Table32[[#This Row],[Cost]]</f>
        <v>3144.3999999999996</v>
      </c>
      <c r="L472" s="6">
        <f>Table32[[#This Row],[Net Profit]]/Table32[[#This Row],[Cost]]</f>
        <v>1.2727272727272725</v>
      </c>
      <c r="M472">
        <v>5615</v>
      </c>
      <c r="N472" s="7">
        <f>Table32[[#This Row],[Cost]]/Table32[[#This Row],[Units Sold]]</f>
        <v>2.2000000000000002</v>
      </c>
      <c r="O472">
        <v>2470.6000000000004</v>
      </c>
      <c r="T472" s="1"/>
    </row>
    <row r="473" spans="1:20">
      <c r="A473">
        <v>4</v>
      </c>
      <c r="B473">
        <v>399302</v>
      </c>
      <c r="C473" t="s">
        <v>12</v>
      </c>
      <c r="D473" s="2">
        <v>552</v>
      </c>
      <c r="E473" s="1">
        <v>44044</v>
      </c>
      <c r="F473">
        <v>1</v>
      </c>
      <c r="G473">
        <v>8</v>
      </c>
      <c r="H473">
        <v>2020</v>
      </c>
      <c r="I473" s="5">
        <f>(Table32[[#This Row],[Revenue]]/Table32[[#This Row],[Units Sold]])</f>
        <v>5</v>
      </c>
      <c r="J473" s="5">
        <f>Table32[[#This Row],[revenue/unit]]-Table32[[#This Row],[Cost/unit]]</f>
        <v>2.8</v>
      </c>
      <c r="K473">
        <f>Table32[[#This Row],[Revenue]]-Table32[[#This Row],[Cost]]</f>
        <v>1545.6</v>
      </c>
      <c r="L473" s="6">
        <f>Table32[[#This Row],[Net Profit]]/Table32[[#This Row],[Cost]]</f>
        <v>1.2727272727272725</v>
      </c>
      <c r="M473">
        <v>2760</v>
      </c>
      <c r="N473" s="7">
        <f>Table32[[#This Row],[Cost]]/Table32[[#This Row],[Units Sold]]</f>
        <v>2.2000000000000002</v>
      </c>
      <c r="O473">
        <v>1214.4000000000001</v>
      </c>
      <c r="T473" s="1"/>
    </row>
    <row r="474" spans="1:20">
      <c r="A474">
        <v>4</v>
      </c>
      <c r="B474">
        <v>702523</v>
      </c>
      <c r="C474" t="s">
        <v>12</v>
      </c>
      <c r="D474" s="2">
        <v>2574</v>
      </c>
      <c r="E474" s="1">
        <v>44044</v>
      </c>
      <c r="F474">
        <v>1</v>
      </c>
      <c r="G474">
        <v>8</v>
      </c>
      <c r="H474">
        <v>2020</v>
      </c>
      <c r="I474" s="5">
        <f>(Table32[[#This Row],[Revenue]]/Table32[[#This Row],[Units Sold]])</f>
        <v>5</v>
      </c>
      <c r="J474" s="5">
        <f>Table32[[#This Row],[revenue/unit]]-Table32[[#This Row],[Cost/unit]]</f>
        <v>2.8</v>
      </c>
      <c r="K474">
        <f>Table32[[#This Row],[Revenue]]-Table32[[#This Row],[Cost]]</f>
        <v>7207.2</v>
      </c>
      <c r="L474" s="6">
        <f>Table32[[#This Row],[Net Profit]]/Table32[[#This Row],[Cost]]</f>
        <v>1.2727272727272727</v>
      </c>
      <c r="M474">
        <v>12870</v>
      </c>
      <c r="N474" s="7">
        <f>Table32[[#This Row],[Cost]]/Table32[[#This Row],[Units Sold]]</f>
        <v>2.2000000000000002</v>
      </c>
      <c r="O474">
        <v>5662.8</v>
      </c>
      <c r="T474" s="1"/>
    </row>
    <row r="475" spans="1:20">
      <c r="A475">
        <v>4</v>
      </c>
      <c r="B475">
        <v>140516</v>
      </c>
      <c r="C475" t="s">
        <v>12</v>
      </c>
      <c r="D475" s="2">
        <v>2475</v>
      </c>
      <c r="E475" s="1">
        <v>44044</v>
      </c>
      <c r="F475">
        <v>1</v>
      </c>
      <c r="G475">
        <v>8</v>
      </c>
      <c r="H475">
        <v>2020</v>
      </c>
      <c r="I475" s="5">
        <f>(Table32[[#This Row],[Revenue]]/Table32[[#This Row],[Units Sold]])</f>
        <v>5</v>
      </c>
      <c r="J475" s="5">
        <f>Table32[[#This Row],[revenue/unit]]-Table32[[#This Row],[Cost/unit]]</f>
        <v>2.8</v>
      </c>
      <c r="K475">
        <f>Table32[[#This Row],[Revenue]]-Table32[[#This Row],[Cost]]</f>
        <v>6930</v>
      </c>
      <c r="L475" s="6">
        <f>Table32[[#This Row],[Net Profit]]/Table32[[#This Row],[Cost]]</f>
        <v>1.2727272727272727</v>
      </c>
      <c r="M475">
        <v>12375</v>
      </c>
      <c r="N475" s="7">
        <f>Table32[[#This Row],[Cost]]/Table32[[#This Row],[Units Sold]]</f>
        <v>2.2000000000000002</v>
      </c>
      <c r="O475">
        <v>5445</v>
      </c>
      <c r="T475" s="1"/>
    </row>
    <row r="476" spans="1:20">
      <c r="A476">
        <v>1</v>
      </c>
      <c r="B476">
        <v>572044</v>
      </c>
      <c r="C476" t="s">
        <v>13</v>
      </c>
      <c r="D476" s="2">
        <v>1884</v>
      </c>
      <c r="E476" s="1">
        <v>44044</v>
      </c>
      <c r="F476">
        <v>1</v>
      </c>
      <c r="G476">
        <v>8</v>
      </c>
      <c r="H476">
        <v>2020</v>
      </c>
      <c r="I476" s="5">
        <f>(Table32[[#This Row],[Revenue]]/Table32[[#This Row],[Units Sold]])</f>
        <v>4</v>
      </c>
      <c r="J476" s="5">
        <f>Table32[[#This Row],[revenue/unit]]-Table32[[#This Row],[Cost/unit]]</f>
        <v>2.5</v>
      </c>
      <c r="K476">
        <f>Table32[[#This Row],[Revenue]]-Table32[[#This Row],[Cost]]</f>
        <v>4710</v>
      </c>
      <c r="L476" s="6">
        <f>Table32[[#This Row],[Net Profit]]/Table32[[#This Row],[Cost]]</f>
        <v>1.6666666666666667</v>
      </c>
      <c r="M476">
        <v>7536</v>
      </c>
      <c r="N476" s="7">
        <f>Table32[[#This Row],[Cost]]/Table32[[#This Row],[Units Sold]]</f>
        <v>1.5</v>
      </c>
      <c r="O476">
        <v>2826</v>
      </c>
      <c r="T476" s="1"/>
    </row>
    <row r="477" spans="1:20">
      <c r="A477">
        <v>4</v>
      </c>
      <c r="B477">
        <v>495847</v>
      </c>
      <c r="C477" t="s">
        <v>13</v>
      </c>
      <c r="D477" s="2">
        <v>1540</v>
      </c>
      <c r="E477" s="1">
        <v>44044</v>
      </c>
      <c r="F477">
        <v>1</v>
      </c>
      <c r="G477">
        <v>8</v>
      </c>
      <c r="H477">
        <v>2020</v>
      </c>
      <c r="I477" s="5">
        <f>(Table32[[#This Row],[Revenue]]/Table32[[#This Row],[Units Sold]])</f>
        <v>4</v>
      </c>
      <c r="J477" s="5">
        <f>Table32[[#This Row],[revenue/unit]]-Table32[[#This Row],[Cost/unit]]</f>
        <v>2.5</v>
      </c>
      <c r="K477">
        <f>Table32[[#This Row],[Revenue]]-Table32[[#This Row],[Cost]]</f>
        <v>3850</v>
      </c>
      <c r="L477" s="6">
        <f>Table32[[#This Row],[Net Profit]]/Table32[[#This Row],[Cost]]</f>
        <v>1.6666666666666667</v>
      </c>
      <c r="M477">
        <v>6160</v>
      </c>
      <c r="N477" s="7">
        <f>Table32[[#This Row],[Cost]]/Table32[[#This Row],[Units Sold]]</f>
        <v>1.5</v>
      </c>
      <c r="O477">
        <v>2310</v>
      </c>
      <c r="T477" s="1"/>
    </row>
    <row r="478" spans="1:20">
      <c r="A478">
        <v>1</v>
      </c>
      <c r="B478">
        <v>819278</v>
      </c>
      <c r="C478" t="s">
        <v>13</v>
      </c>
      <c r="D478" s="2">
        <v>1174</v>
      </c>
      <c r="E478" s="1">
        <v>44044</v>
      </c>
      <c r="F478">
        <v>1</v>
      </c>
      <c r="G478">
        <v>8</v>
      </c>
      <c r="H478">
        <v>2020</v>
      </c>
      <c r="I478" s="5">
        <f>(Table32[[#This Row],[Revenue]]/Table32[[#This Row],[Units Sold]])</f>
        <v>4</v>
      </c>
      <c r="J478" s="5">
        <f>Table32[[#This Row],[revenue/unit]]-Table32[[#This Row],[Cost/unit]]</f>
        <v>2.5</v>
      </c>
      <c r="K478">
        <f>Table32[[#This Row],[Revenue]]-Table32[[#This Row],[Cost]]</f>
        <v>2935</v>
      </c>
      <c r="L478" s="6">
        <f>Table32[[#This Row],[Net Profit]]/Table32[[#This Row],[Cost]]</f>
        <v>1.6666666666666667</v>
      </c>
      <c r="M478">
        <v>4696</v>
      </c>
      <c r="N478" s="7">
        <f>Table32[[#This Row],[Cost]]/Table32[[#This Row],[Units Sold]]</f>
        <v>1.5</v>
      </c>
      <c r="O478">
        <v>1761</v>
      </c>
      <c r="T478" s="1"/>
    </row>
    <row r="479" spans="1:20">
      <c r="A479">
        <v>4</v>
      </c>
      <c r="B479">
        <v>858434</v>
      </c>
      <c r="C479" t="s">
        <v>13</v>
      </c>
      <c r="D479" s="2">
        <v>2767</v>
      </c>
      <c r="E479" s="1">
        <v>44044</v>
      </c>
      <c r="F479">
        <v>1</v>
      </c>
      <c r="G479">
        <v>8</v>
      </c>
      <c r="H479">
        <v>2020</v>
      </c>
      <c r="I479" s="5">
        <f>(Table32[[#This Row],[Revenue]]/Table32[[#This Row],[Units Sold]])</f>
        <v>4</v>
      </c>
      <c r="J479" s="5">
        <f>Table32[[#This Row],[revenue/unit]]-Table32[[#This Row],[Cost/unit]]</f>
        <v>2.5</v>
      </c>
      <c r="K479">
        <f>Table32[[#This Row],[Revenue]]-Table32[[#This Row],[Cost]]</f>
        <v>6917.5</v>
      </c>
      <c r="L479" s="6">
        <f>Table32[[#This Row],[Net Profit]]/Table32[[#This Row],[Cost]]</f>
        <v>1.6666666666666667</v>
      </c>
      <c r="M479">
        <v>11068</v>
      </c>
      <c r="N479" s="7">
        <f>Table32[[#This Row],[Cost]]/Table32[[#This Row],[Units Sold]]</f>
        <v>1.5</v>
      </c>
      <c r="O479">
        <v>4150.5</v>
      </c>
      <c r="T479" s="1"/>
    </row>
    <row r="480" spans="1:20">
      <c r="A480">
        <v>2</v>
      </c>
      <c r="B480">
        <v>149767</v>
      </c>
      <c r="C480" t="s">
        <v>14</v>
      </c>
      <c r="D480" s="2">
        <v>1874</v>
      </c>
      <c r="E480" s="1">
        <v>44044</v>
      </c>
      <c r="F480">
        <v>1</v>
      </c>
      <c r="G480">
        <v>8</v>
      </c>
      <c r="H480">
        <v>2020</v>
      </c>
      <c r="I480" s="5">
        <f>(Table32[[#This Row],[Revenue]]/Table32[[#This Row],[Units Sold]])</f>
        <v>3</v>
      </c>
      <c r="J480" s="5">
        <f>Table32[[#This Row],[revenue/unit]]-Table32[[#This Row],[Cost/unit]]</f>
        <v>1.75</v>
      </c>
      <c r="K480">
        <f>Table32[[#This Row],[Revenue]]-Table32[[#This Row],[Cost]]</f>
        <v>3279.5</v>
      </c>
      <c r="L480" s="6">
        <f>Table32[[#This Row],[Net Profit]]/Table32[[#This Row],[Cost]]</f>
        <v>1.4</v>
      </c>
      <c r="M480">
        <v>5622</v>
      </c>
      <c r="N480" s="7">
        <f>Table32[[#This Row],[Cost]]/Table32[[#This Row],[Units Sold]]</f>
        <v>1.25</v>
      </c>
      <c r="O480">
        <v>2342.5</v>
      </c>
      <c r="T480" s="1"/>
    </row>
    <row r="481" spans="1:20">
      <c r="A481">
        <v>4</v>
      </c>
      <c r="B481">
        <v>108848</v>
      </c>
      <c r="C481" t="s">
        <v>14</v>
      </c>
      <c r="D481" s="2">
        <v>1642</v>
      </c>
      <c r="E481" s="1">
        <v>44044</v>
      </c>
      <c r="F481">
        <v>1</v>
      </c>
      <c r="G481">
        <v>8</v>
      </c>
      <c r="H481">
        <v>2020</v>
      </c>
      <c r="I481" s="5">
        <f>(Table32[[#This Row],[Revenue]]/Table32[[#This Row],[Units Sold]])</f>
        <v>3</v>
      </c>
      <c r="J481" s="5">
        <f>Table32[[#This Row],[revenue/unit]]-Table32[[#This Row],[Cost/unit]]</f>
        <v>1.75</v>
      </c>
      <c r="K481">
        <f>Table32[[#This Row],[Revenue]]-Table32[[#This Row],[Cost]]</f>
        <v>2873.5</v>
      </c>
      <c r="L481" s="6">
        <f>Table32[[#This Row],[Net Profit]]/Table32[[#This Row],[Cost]]</f>
        <v>1.4</v>
      </c>
      <c r="M481">
        <v>4926</v>
      </c>
      <c r="N481" s="7">
        <f>Table32[[#This Row],[Cost]]/Table32[[#This Row],[Units Sold]]</f>
        <v>1.25</v>
      </c>
      <c r="O481">
        <v>2052.5</v>
      </c>
      <c r="T481" s="1"/>
    </row>
    <row r="482" spans="1:20">
      <c r="A482">
        <v>3</v>
      </c>
      <c r="B482">
        <v>464364</v>
      </c>
      <c r="C482" t="s">
        <v>14</v>
      </c>
      <c r="D482" s="2">
        <v>381</v>
      </c>
      <c r="E482" s="1">
        <v>44044</v>
      </c>
      <c r="F482">
        <v>1</v>
      </c>
      <c r="G482">
        <v>8</v>
      </c>
      <c r="H482">
        <v>2020</v>
      </c>
      <c r="I482" s="5">
        <f>(Table32[[#This Row],[Revenue]]/Table32[[#This Row],[Units Sold]])</f>
        <v>3</v>
      </c>
      <c r="J482" s="5">
        <f>Table32[[#This Row],[revenue/unit]]-Table32[[#This Row],[Cost/unit]]</f>
        <v>1.75</v>
      </c>
      <c r="K482">
        <f>Table32[[#This Row],[Revenue]]-Table32[[#This Row],[Cost]]</f>
        <v>666.75</v>
      </c>
      <c r="L482" s="6">
        <f>Table32[[#This Row],[Net Profit]]/Table32[[#This Row],[Cost]]</f>
        <v>1.4</v>
      </c>
      <c r="M482">
        <v>1143</v>
      </c>
      <c r="N482" s="7">
        <f>Table32[[#This Row],[Cost]]/Table32[[#This Row],[Units Sold]]</f>
        <v>1.25</v>
      </c>
      <c r="O482">
        <v>476.25</v>
      </c>
      <c r="T482" s="1"/>
    </row>
    <row r="483" spans="1:20">
      <c r="A483">
        <v>1</v>
      </c>
      <c r="B483">
        <v>350494</v>
      </c>
      <c r="C483" t="s">
        <v>14</v>
      </c>
      <c r="D483" s="2">
        <v>422</v>
      </c>
      <c r="E483" s="1">
        <v>44044</v>
      </c>
      <c r="F483">
        <v>1</v>
      </c>
      <c r="G483">
        <v>8</v>
      </c>
      <c r="H483">
        <v>2020</v>
      </c>
      <c r="I483" s="5">
        <f>(Table32[[#This Row],[Revenue]]/Table32[[#This Row],[Units Sold]])</f>
        <v>3</v>
      </c>
      <c r="J483" s="5">
        <f>Table32[[#This Row],[revenue/unit]]-Table32[[#This Row],[Cost/unit]]</f>
        <v>1.75</v>
      </c>
      <c r="K483">
        <f>Table32[[#This Row],[Revenue]]-Table32[[#This Row],[Cost]]</f>
        <v>738.5</v>
      </c>
      <c r="L483" s="6">
        <f>Table32[[#This Row],[Net Profit]]/Table32[[#This Row],[Cost]]</f>
        <v>1.4</v>
      </c>
      <c r="M483">
        <v>1266</v>
      </c>
      <c r="N483" s="7">
        <f>Table32[[#This Row],[Cost]]/Table32[[#This Row],[Units Sold]]</f>
        <v>1.25</v>
      </c>
      <c r="O483">
        <v>527.5</v>
      </c>
      <c r="T483" s="1"/>
    </row>
    <row r="484" spans="1:20">
      <c r="A484">
        <v>2</v>
      </c>
      <c r="B484">
        <v>363822</v>
      </c>
      <c r="C484" t="s">
        <v>14</v>
      </c>
      <c r="D484" s="2">
        <v>2807</v>
      </c>
      <c r="E484" s="1">
        <v>44044</v>
      </c>
      <c r="F484">
        <v>1</v>
      </c>
      <c r="G484">
        <v>8</v>
      </c>
      <c r="H484">
        <v>2020</v>
      </c>
      <c r="I484" s="5">
        <f>(Table32[[#This Row],[Revenue]]/Table32[[#This Row],[Units Sold]])</f>
        <v>3</v>
      </c>
      <c r="J484" s="5">
        <f>Table32[[#This Row],[revenue/unit]]-Table32[[#This Row],[Cost/unit]]</f>
        <v>1.75</v>
      </c>
      <c r="K484">
        <f>Table32[[#This Row],[Revenue]]-Table32[[#This Row],[Cost]]</f>
        <v>4912.25</v>
      </c>
      <c r="L484" s="6">
        <f>Table32[[#This Row],[Net Profit]]/Table32[[#This Row],[Cost]]</f>
        <v>1.4</v>
      </c>
      <c r="M484">
        <v>8421</v>
      </c>
      <c r="N484" s="7">
        <f>Table32[[#This Row],[Cost]]/Table32[[#This Row],[Units Sold]]</f>
        <v>1.25</v>
      </c>
      <c r="O484">
        <v>3508.75</v>
      </c>
      <c r="T484" s="1"/>
    </row>
    <row r="485" spans="1:20">
      <c r="A485">
        <v>3</v>
      </c>
      <c r="B485">
        <v>444518</v>
      </c>
      <c r="C485" t="s">
        <v>14</v>
      </c>
      <c r="D485" s="2">
        <v>2541</v>
      </c>
      <c r="E485" s="1">
        <v>44044</v>
      </c>
      <c r="F485">
        <v>1</v>
      </c>
      <c r="G485">
        <v>8</v>
      </c>
      <c r="H485">
        <v>2020</v>
      </c>
      <c r="I485" s="5">
        <f>(Table32[[#This Row],[Revenue]]/Table32[[#This Row],[Units Sold]])</f>
        <v>3</v>
      </c>
      <c r="J485" s="5">
        <f>Table32[[#This Row],[revenue/unit]]-Table32[[#This Row],[Cost/unit]]</f>
        <v>1.75</v>
      </c>
      <c r="K485">
        <f>Table32[[#This Row],[Revenue]]-Table32[[#This Row],[Cost]]</f>
        <v>4446.75</v>
      </c>
      <c r="L485" s="6">
        <f>Table32[[#This Row],[Net Profit]]/Table32[[#This Row],[Cost]]</f>
        <v>1.4</v>
      </c>
      <c r="M485">
        <v>7623</v>
      </c>
      <c r="N485" s="7">
        <f>Table32[[#This Row],[Cost]]/Table32[[#This Row],[Units Sold]]</f>
        <v>1.25</v>
      </c>
      <c r="O485">
        <v>3176.25</v>
      </c>
      <c r="T485" s="1"/>
    </row>
    <row r="486" spans="1:20">
      <c r="A486">
        <v>1</v>
      </c>
      <c r="B486">
        <v>685153</v>
      </c>
      <c r="C486" t="s">
        <v>15</v>
      </c>
      <c r="D486" s="2">
        <v>2821</v>
      </c>
      <c r="E486" s="1">
        <v>44044</v>
      </c>
      <c r="F486">
        <v>1</v>
      </c>
      <c r="G486">
        <v>8</v>
      </c>
      <c r="H486">
        <v>2020</v>
      </c>
      <c r="I486" s="5">
        <f>(Table32[[#This Row],[Revenue]]/Table32[[#This Row],[Units Sold]])</f>
        <v>6</v>
      </c>
      <c r="J486" s="5">
        <f>Table32[[#This Row],[revenue/unit]]-Table32[[#This Row],[Cost/unit]]</f>
        <v>3.25</v>
      </c>
      <c r="K486">
        <f>Table32[[#This Row],[Revenue]]-Table32[[#This Row],[Cost]]</f>
        <v>9168.25</v>
      </c>
      <c r="L486" s="6">
        <f>Table32[[#This Row],[Net Profit]]/Table32[[#This Row],[Cost]]</f>
        <v>1.1818181818181819</v>
      </c>
      <c r="M486">
        <v>16926</v>
      </c>
      <c r="N486" s="7">
        <f>Table32[[#This Row],[Cost]]/Table32[[#This Row],[Units Sold]]</f>
        <v>2.75</v>
      </c>
      <c r="O486">
        <v>7757.75</v>
      </c>
      <c r="T486" s="1"/>
    </row>
    <row r="487" spans="1:20">
      <c r="A487">
        <v>1</v>
      </c>
      <c r="B487">
        <v>265959</v>
      </c>
      <c r="C487" t="s">
        <v>15</v>
      </c>
      <c r="D487" s="2">
        <v>923</v>
      </c>
      <c r="E487" s="1">
        <v>44044</v>
      </c>
      <c r="F487">
        <v>1</v>
      </c>
      <c r="G487">
        <v>8</v>
      </c>
      <c r="H487">
        <v>2020</v>
      </c>
      <c r="I487" s="5">
        <f>(Table32[[#This Row],[Revenue]]/Table32[[#This Row],[Units Sold]])</f>
        <v>6</v>
      </c>
      <c r="J487" s="5">
        <f>Table32[[#This Row],[revenue/unit]]-Table32[[#This Row],[Cost/unit]]</f>
        <v>3.25</v>
      </c>
      <c r="K487">
        <f>Table32[[#This Row],[Revenue]]-Table32[[#This Row],[Cost]]</f>
        <v>2999.75</v>
      </c>
      <c r="L487" s="6">
        <f>Table32[[#This Row],[Net Profit]]/Table32[[#This Row],[Cost]]</f>
        <v>1.1818181818181819</v>
      </c>
      <c r="M487">
        <v>5538</v>
      </c>
      <c r="N487" s="7">
        <f>Table32[[#This Row],[Cost]]/Table32[[#This Row],[Units Sold]]</f>
        <v>2.75</v>
      </c>
      <c r="O487">
        <v>2538.25</v>
      </c>
      <c r="T487" s="1"/>
    </row>
    <row r="488" spans="1:20">
      <c r="A488">
        <v>5</v>
      </c>
      <c r="B488">
        <v>864063</v>
      </c>
      <c r="C488" t="s">
        <v>15</v>
      </c>
      <c r="D488" s="2">
        <v>2832</v>
      </c>
      <c r="E488" s="1">
        <v>44044</v>
      </c>
      <c r="F488">
        <v>1</v>
      </c>
      <c r="G488">
        <v>8</v>
      </c>
      <c r="H488">
        <v>2020</v>
      </c>
      <c r="I488" s="5">
        <f>(Table32[[#This Row],[Revenue]]/Table32[[#This Row],[Units Sold]])</f>
        <v>6</v>
      </c>
      <c r="J488" s="5">
        <f>Table32[[#This Row],[revenue/unit]]-Table32[[#This Row],[Cost/unit]]</f>
        <v>3.25</v>
      </c>
      <c r="K488">
        <f>Table32[[#This Row],[Revenue]]-Table32[[#This Row],[Cost]]</f>
        <v>9204</v>
      </c>
      <c r="L488" s="6">
        <f>Table32[[#This Row],[Net Profit]]/Table32[[#This Row],[Cost]]</f>
        <v>1.1818181818181819</v>
      </c>
      <c r="M488">
        <v>16992</v>
      </c>
      <c r="N488" s="7">
        <f>Table32[[#This Row],[Cost]]/Table32[[#This Row],[Units Sold]]</f>
        <v>2.75</v>
      </c>
      <c r="O488">
        <v>7788</v>
      </c>
      <c r="T488" s="1"/>
    </row>
    <row r="489" spans="1:20">
      <c r="A489">
        <v>3</v>
      </c>
      <c r="B489">
        <v>355971</v>
      </c>
      <c r="C489" t="s">
        <v>15</v>
      </c>
      <c r="D489" s="2">
        <v>1579</v>
      </c>
      <c r="E489" s="1">
        <v>44044</v>
      </c>
      <c r="F489">
        <v>1</v>
      </c>
      <c r="G489">
        <v>8</v>
      </c>
      <c r="H489">
        <v>2020</v>
      </c>
      <c r="I489" s="5">
        <f>(Table32[[#This Row],[Revenue]]/Table32[[#This Row],[Units Sold]])</f>
        <v>6</v>
      </c>
      <c r="J489" s="5">
        <f>Table32[[#This Row],[revenue/unit]]-Table32[[#This Row],[Cost/unit]]</f>
        <v>3.25</v>
      </c>
      <c r="K489">
        <f>Table32[[#This Row],[Revenue]]-Table32[[#This Row],[Cost]]</f>
        <v>5131.75</v>
      </c>
      <c r="L489" s="6">
        <f>Table32[[#This Row],[Net Profit]]/Table32[[#This Row],[Cost]]</f>
        <v>1.1818181818181819</v>
      </c>
      <c r="M489">
        <v>9474</v>
      </c>
      <c r="N489" s="7">
        <f>Table32[[#This Row],[Cost]]/Table32[[#This Row],[Units Sold]]</f>
        <v>2.75</v>
      </c>
      <c r="O489">
        <v>4342.25</v>
      </c>
      <c r="T489" s="1"/>
    </row>
    <row r="490" spans="1:20">
      <c r="A490">
        <v>5</v>
      </c>
      <c r="B490">
        <v>263637</v>
      </c>
      <c r="C490" t="s">
        <v>15</v>
      </c>
      <c r="D490" s="2">
        <v>1001</v>
      </c>
      <c r="E490" s="1">
        <v>44044</v>
      </c>
      <c r="F490">
        <v>1</v>
      </c>
      <c r="G490">
        <v>8</v>
      </c>
      <c r="H490">
        <v>2020</v>
      </c>
      <c r="I490" s="5">
        <f>(Table32[[#This Row],[Revenue]]/Table32[[#This Row],[Units Sold]])</f>
        <v>6</v>
      </c>
      <c r="J490" s="5">
        <f>Table32[[#This Row],[revenue/unit]]-Table32[[#This Row],[Cost/unit]]</f>
        <v>3.25</v>
      </c>
      <c r="K490">
        <f>Table32[[#This Row],[Revenue]]-Table32[[#This Row],[Cost]]</f>
        <v>3253.25</v>
      </c>
      <c r="L490" s="6">
        <f>Table32[[#This Row],[Net Profit]]/Table32[[#This Row],[Cost]]</f>
        <v>1.1818181818181819</v>
      </c>
      <c r="M490">
        <v>6006</v>
      </c>
      <c r="N490" s="7">
        <f>Table32[[#This Row],[Cost]]/Table32[[#This Row],[Units Sold]]</f>
        <v>2.75</v>
      </c>
      <c r="O490">
        <v>2752.75</v>
      </c>
      <c r="T490" s="1"/>
    </row>
    <row r="491" spans="1:20">
      <c r="A491">
        <v>1</v>
      </c>
      <c r="B491">
        <v>741049</v>
      </c>
      <c r="C491" t="s">
        <v>15</v>
      </c>
      <c r="D491" s="2">
        <v>609</v>
      </c>
      <c r="E491" s="1">
        <v>44044</v>
      </c>
      <c r="F491">
        <v>1</v>
      </c>
      <c r="G491">
        <v>8</v>
      </c>
      <c r="H491">
        <v>2020</v>
      </c>
      <c r="I491" s="5">
        <f>(Table32[[#This Row],[Revenue]]/Table32[[#This Row],[Units Sold]])</f>
        <v>6</v>
      </c>
      <c r="J491" s="5">
        <f>Table32[[#This Row],[revenue/unit]]-Table32[[#This Row],[Cost/unit]]</f>
        <v>3.25</v>
      </c>
      <c r="K491">
        <f>Table32[[#This Row],[Revenue]]-Table32[[#This Row],[Cost]]</f>
        <v>1979.25</v>
      </c>
      <c r="L491" s="6">
        <f>Table32[[#This Row],[Net Profit]]/Table32[[#This Row],[Cost]]</f>
        <v>1.1818181818181819</v>
      </c>
      <c r="M491">
        <v>3654</v>
      </c>
      <c r="N491" s="7">
        <f>Table32[[#This Row],[Cost]]/Table32[[#This Row],[Units Sold]]</f>
        <v>2.75</v>
      </c>
      <c r="O491">
        <v>1674.75</v>
      </c>
      <c r="T491" s="1"/>
    </row>
    <row r="492" spans="1:20">
      <c r="A492">
        <v>5</v>
      </c>
      <c r="B492">
        <v>703997</v>
      </c>
      <c r="C492" t="s">
        <v>10</v>
      </c>
      <c r="D492" s="2">
        <v>2472</v>
      </c>
      <c r="E492" s="1">
        <v>44075</v>
      </c>
      <c r="F492">
        <v>1</v>
      </c>
      <c r="G492">
        <v>9</v>
      </c>
      <c r="H492">
        <v>2020</v>
      </c>
      <c r="I492" s="5">
        <f>(Table32[[#This Row],[Revenue]]/Table32[[#This Row],[Units Sold]])</f>
        <v>5</v>
      </c>
      <c r="J492" s="5">
        <f>Table32[[#This Row],[revenue/unit]]-Table32[[#This Row],[Cost/unit]]</f>
        <v>3</v>
      </c>
      <c r="K492">
        <f>Table32[[#This Row],[Revenue]]-Table32[[#This Row],[Cost]]</f>
        <v>7416</v>
      </c>
      <c r="L492" s="6">
        <f>Table32[[#This Row],[Net Profit]]/Table32[[#This Row],[Cost]]</f>
        <v>1.5</v>
      </c>
      <c r="M492">
        <v>12360</v>
      </c>
      <c r="N492" s="7">
        <f>Table32[[#This Row],[Cost]]/Table32[[#This Row],[Units Sold]]</f>
        <v>2</v>
      </c>
      <c r="O492">
        <v>4944</v>
      </c>
      <c r="T492" s="1"/>
    </row>
    <row r="493" spans="1:20">
      <c r="A493">
        <v>2</v>
      </c>
      <c r="B493">
        <v>320688</v>
      </c>
      <c r="C493" t="s">
        <v>10</v>
      </c>
      <c r="D493" s="2">
        <v>747</v>
      </c>
      <c r="E493" s="1">
        <v>44075</v>
      </c>
      <c r="F493">
        <v>1</v>
      </c>
      <c r="G493">
        <v>9</v>
      </c>
      <c r="H493">
        <v>2020</v>
      </c>
      <c r="I493" s="5">
        <f>(Table32[[#This Row],[Revenue]]/Table32[[#This Row],[Units Sold]])</f>
        <v>5</v>
      </c>
      <c r="J493" s="5">
        <f>Table32[[#This Row],[revenue/unit]]-Table32[[#This Row],[Cost/unit]]</f>
        <v>3</v>
      </c>
      <c r="K493">
        <f>Table32[[#This Row],[Revenue]]-Table32[[#This Row],[Cost]]</f>
        <v>2241</v>
      </c>
      <c r="L493" s="6">
        <f>Table32[[#This Row],[Net Profit]]/Table32[[#This Row],[Cost]]</f>
        <v>1.5</v>
      </c>
      <c r="M493">
        <v>3735</v>
      </c>
      <c r="N493" s="7">
        <f>Table32[[#This Row],[Cost]]/Table32[[#This Row],[Units Sold]]</f>
        <v>2</v>
      </c>
      <c r="O493">
        <v>1494</v>
      </c>
      <c r="T493" s="1"/>
    </row>
    <row r="494" spans="1:20">
      <c r="A494">
        <v>1</v>
      </c>
      <c r="B494">
        <v>675035</v>
      </c>
      <c r="C494" t="s">
        <v>10</v>
      </c>
      <c r="D494" s="2">
        <v>218</v>
      </c>
      <c r="E494" s="1">
        <v>44075</v>
      </c>
      <c r="F494">
        <v>1</v>
      </c>
      <c r="G494">
        <v>9</v>
      </c>
      <c r="H494">
        <v>2020</v>
      </c>
      <c r="I494" s="5">
        <f>(Table32[[#This Row],[Revenue]]/Table32[[#This Row],[Units Sold]])</f>
        <v>5</v>
      </c>
      <c r="J494" s="5">
        <f>Table32[[#This Row],[revenue/unit]]-Table32[[#This Row],[Cost/unit]]</f>
        <v>3</v>
      </c>
      <c r="K494">
        <f>Table32[[#This Row],[Revenue]]-Table32[[#This Row],[Cost]]</f>
        <v>654</v>
      </c>
      <c r="L494" s="6">
        <f>Table32[[#This Row],[Net Profit]]/Table32[[#This Row],[Cost]]</f>
        <v>1.5</v>
      </c>
      <c r="M494">
        <v>1090</v>
      </c>
      <c r="N494" s="7">
        <f>Table32[[#This Row],[Cost]]/Table32[[#This Row],[Units Sold]]</f>
        <v>2</v>
      </c>
      <c r="O494">
        <v>436</v>
      </c>
      <c r="T494" s="1"/>
    </row>
    <row r="495" spans="1:20">
      <c r="A495">
        <v>3</v>
      </c>
      <c r="B495">
        <v>255145</v>
      </c>
      <c r="C495" t="s">
        <v>10</v>
      </c>
      <c r="D495" s="2">
        <v>2074</v>
      </c>
      <c r="E495" s="1">
        <v>44075</v>
      </c>
      <c r="F495">
        <v>1</v>
      </c>
      <c r="G495">
        <v>9</v>
      </c>
      <c r="H495">
        <v>2020</v>
      </c>
      <c r="I495" s="5">
        <f>(Table32[[#This Row],[Revenue]]/Table32[[#This Row],[Units Sold]])</f>
        <v>5</v>
      </c>
      <c r="J495" s="5">
        <f>Table32[[#This Row],[revenue/unit]]-Table32[[#This Row],[Cost/unit]]</f>
        <v>3</v>
      </c>
      <c r="K495">
        <f>Table32[[#This Row],[Revenue]]-Table32[[#This Row],[Cost]]</f>
        <v>6222</v>
      </c>
      <c r="L495" s="6">
        <f>Table32[[#This Row],[Net Profit]]/Table32[[#This Row],[Cost]]</f>
        <v>1.5</v>
      </c>
      <c r="M495">
        <v>10370</v>
      </c>
      <c r="N495" s="7">
        <f>Table32[[#This Row],[Cost]]/Table32[[#This Row],[Units Sold]]</f>
        <v>2</v>
      </c>
      <c r="O495">
        <v>4148</v>
      </c>
      <c r="T495" s="1"/>
    </row>
    <row r="496" spans="1:20">
      <c r="A496">
        <v>5</v>
      </c>
      <c r="B496">
        <v>436748</v>
      </c>
      <c r="C496" t="s">
        <v>10</v>
      </c>
      <c r="D496" s="2">
        <v>1056</v>
      </c>
      <c r="E496" s="1">
        <v>44075</v>
      </c>
      <c r="F496">
        <v>1</v>
      </c>
      <c r="G496">
        <v>9</v>
      </c>
      <c r="H496">
        <v>2020</v>
      </c>
      <c r="I496" s="5">
        <f>(Table32[[#This Row],[Revenue]]/Table32[[#This Row],[Units Sold]])</f>
        <v>5</v>
      </c>
      <c r="J496" s="5">
        <f>Table32[[#This Row],[revenue/unit]]-Table32[[#This Row],[Cost/unit]]</f>
        <v>3</v>
      </c>
      <c r="K496">
        <f>Table32[[#This Row],[Revenue]]-Table32[[#This Row],[Cost]]</f>
        <v>3168</v>
      </c>
      <c r="L496" s="6">
        <f>Table32[[#This Row],[Net Profit]]/Table32[[#This Row],[Cost]]</f>
        <v>1.5</v>
      </c>
      <c r="M496">
        <v>5280</v>
      </c>
      <c r="N496" s="7">
        <f>Table32[[#This Row],[Cost]]/Table32[[#This Row],[Units Sold]]</f>
        <v>2</v>
      </c>
      <c r="O496">
        <v>2112</v>
      </c>
      <c r="T496" s="1"/>
    </row>
    <row r="497" spans="1:20">
      <c r="A497">
        <v>5</v>
      </c>
      <c r="B497">
        <v>587035</v>
      </c>
      <c r="C497" t="s">
        <v>10</v>
      </c>
      <c r="D497" s="2">
        <v>2620</v>
      </c>
      <c r="E497" s="1">
        <v>44075</v>
      </c>
      <c r="F497">
        <v>1</v>
      </c>
      <c r="G497">
        <v>9</v>
      </c>
      <c r="H497">
        <v>2020</v>
      </c>
      <c r="I497" s="5">
        <f>(Table32[[#This Row],[Revenue]]/Table32[[#This Row],[Units Sold]])</f>
        <v>5</v>
      </c>
      <c r="J497" s="5">
        <f>Table32[[#This Row],[revenue/unit]]-Table32[[#This Row],[Cost/unit]]</f>
        <v>3</v>
      </c>
      <c r="K497">
        <f>Table32[[#This Row],[Revenue]]-Table32[[#This Row],[Cost]]</f>
        <v>7860</v>
      </c>
      <c r="L497" s="6">
        <f>Table32[[#This Row],[Net Profit]]/Table32[[#This Row],[Cost]]</f>
        <v>1.5</v>
      </c>
      <c r="M497">
        <v>13100</v>
      </c>
      <c r="N497" s="7">
        <f>Table32[[#This Row],[Cost]]/Table32[[#This Row],[Units Sold]]</f>
        <v>2</v>
      </c>
      <c r="O497">
        <v>5240</v>
      </c>
      <c r="T497" s="1"/>
    </row>
    <row r="498" spans="1:20">
      <c r="A498">
        <v>3</v>
      </c>
      <c r="B498">
        <v>293863</v>
      </c>
      <c r="C498" t="s">
        <v>10</v>
      </c>
      <c r="D498" s="2">
        <v>1535</v>
      </c>
      <c r="E498" s="1">
        <v>44075</v>
      </c>
      <c r="F498">
        <v>1</v>
      </c>
      <c r="G498">
        <v>9</v>
      </c>
      <c r="H498">
        <v>2020</v>
      </c>
      <c r="I498" s="5">
        <f>(Table32[[#This Row],[Revenue]]/Table32[[#This Row],[Units Sold]])</f>
        <v>5</v>
      </c>
      <c r="J498" s="5">
        <f>Table32[[#This Row],[revenue/unit]]-Table32[[#This Row],[Cost/unit]]</f>
        <v>3</v>
      </c>
      <c r="K498">
        <f>Table32[[#This Row],[Revenue]]-Table32[[#This Row],[Cost]]</f>
        <v>4605</v>
      </c>
      <c r="L498" s="6">
        <f>Table32[[#This Row],[Net Profit]]/Table32[[#This Row],[Cost]]</f>
        <v>1.5</v>
      </c>
      <c r="M498">
        <v>7675</v>
      </c>
      <c r="N498" s="7">
        <f>Table32[[#This Row],[Cost]]/Table32[[#This Row],[Units Sold]]</f>
        <v>2</v>
      </c>
      <c r="O498">
        <v>3070</v>
      </c>
      <c r="T498" s="1"/>
    </row>
    <row r="499" spans="1:20">
      <c r="A499">
        <v>3</v>
      </c>
      <c r="B499">
        <v>100553</v>
      </c>
      <c r="C499" t="s">
        <v>10</v>
      </c>
      <c r="D499" s="2">
        <v>1934</v>
      </c>
      <c r="E499" s="1">
        <v>44075</v>
      </c>
      <c r="F499">
        <v>1</v>
      </c>
      <c r="G499">
        <v>9</v>
      </c>
      <c r="H499">
        <v>2020</v>
      </c>
      <c r="I499" s="5">
        <f>(Table32[[#This Row],[Revenue]]/Table32[[#This Row],[Units Sold]])</f>
        <v>5</v>
      </c>
      <c r="J499" s="5">
        <f>Table32[[#This Row],[revenue/unit]]-Table32[[#This Row],[Cost/unit]]</f>
        <v>3</v>
      </c>
      <c r="K499">
        <f>Table32[[#This Row],[Revenue]]-Table32[[#This Row],[Cost]]</f>
        <v>5802</v>
      </c>
      <c r="L499" s="6">
        <f>Table32[[#This Row],[Net Profit]]/Table32[[#This Row],[Cost]]</f>
        <v>1.5</v>
      </c>
      <c r="M499">
        <v>9670</v>
      </c>
      <c r="N499" s="7">
        <f>Table32[[#This Row],[Cost]]/Table32[[#This Row],[Units Sold]]</f>
        <v>2</v>
      </c>
      <c r="O499">
        <v>3868</v>
      </c>
      <c r="T499" s="1"/>
    </row>
    <row r="500" spans="1:20">
      <c r="A500">
        <v>3</v>
      </c>
      <c r="B500">
        <v>788375</v>
      </c>
      <c r="C500" t="s">
        <v>10</v>
      </c>
      <c r="D500" s="2">
        <v>2993</v>
      </c>
      <c r="E500" s="1">
        <v>44075</v>
      </c>
      <c r="F500">
        <v>1</v>
      </c>
      <c r="G500">
        <v>9</v>
      </c>
      <c r="H500">
        <v>2020</v>
      </c>
      <c r="I500" s="5">
        <f>(Table32[[#This Row],[Revenue]]/Table32[[#This Row],[Units Sold]])</f>
        <v>5</v>
      </c>
      <c r="J500" s="5">
        <f>Table32[[#This Row],[revenue/unit]]-Table32[[#This Row],[Cost/unit]]</f>
        <v>3</v>
      </c>
      <c r="K500">
        <f>Table32[[#This Row],[Revenue]]-Table32[[#This Row],[Cost]]</f>
        <v>8979</v>
      </c>
      <c r="L500" s="6">
        <f>Table32[[#This Row],[Net Profit]]/Table32[[#This Row],[Cost]]</f>
        <v>1.5</v>
      </c>
      <c r="M500">
        <v>14965</v>
      </c>
      <c r="N500" s="7">
        <f>Table32[[#This Row],[Cost]]/Table32[[#This Row],[Units Sold]]</f>
        <v>2</v>
      </c>
      <c r="O500">
        <v>5986</v>
      </c>
      <c r="T500" s="1"/>
    </row>
    <row r="501" spans="1:20">
      <c r="A501">
        <v>4</v>
      </c>
      <c r="B501">
        <v>544855</v>
      </c>
      <c r="C501" t="s">
        <v>10</v>
      </c>
      <c r="D501" s="2">
        <v>1767</v>
      </c>
      <c r="E501" s="1">
        <v>44075</v>
      </c>
      <c r="F501">
        <v>1</v>
      </c>
      <c r="G501">
        <v>9</v>
      </c>
      <c r="H501">
        <v>2020</v>
      </c>
      <c r="I501" s="5">
        <f>(Table32[[#This Row],[Revenue]]/Table32[[#This Row],[Units Sold]])</f>
        <v>5</v>
      </c>
      <c r="J501" s="5">
        <f>Table32[[#This Row],[revenue/unit]]-Table32[[#This Row],[Cost/unit]]</f>
        <v>3</v>
      </c>
      <c r="K501">
        <f>Table32[[#This Row],[Revenue]]-Table32[[#This Row],[Cost]]</f>
        <v>5301</v>
      </c>
      <c r="L501" s="6">
        <f>Table32[[#This Row],[Net Profit]]/Table32[[#This Row],[Cost]]</f>
        <v>1.5</v>
      </c>
      <c r="M501">
        <v>8835</v>
      </c>
      <c r="N501" s="7">
        <f>Table32[[#This Row],[Cost]]/Table32[[#This Row],[Units Sold]]</f>
        <v>2</v>
      </c>
      <c r="O501">
        <v>3534</v>
      </c>
      <c r="T501" s="1"/>
    </row>
    <row r="502" spans="1:20">
      <c r="A502">
        <v>4</v>
      </c>
      <c r="B502">
        <v>366159</v>
      </c>
      <c r="C502" t="s">
        <v>11</v>
      </c>
      <c r="D502" s="2">
        <v>2146</v>
      </c>
      <c r="E502" s="1">
        <v>44075</v>
      </c>
      <c r="F502">
        <v>1</v>
      </c>
      <c r="G502">
        <v>9</v>
      </c>
      <c r="H502">
        <v>2020</v>
      </c>
      <c r="I502" s="5">
        <f>(Table32[[#This Row],[Revenue]]/Table32[[#This Row],[Units Sold]])</f>
        <v>1</v>
      </c>
      <c r="J502" s="5">
        <f>Table32[[#This Row],[revenue/unit]]-Table32[[#This Row],[Cost/unit]]</f>
        <v>0.5</v>
      </c>
      <c r="K502">
        <f>Table32[[#This Row],[Revenue]]-Table32[[#This Row],[Cost]]</f>
        <v>1073</v>
      </c>
      <c r="L502" s="6">
        <f>Table32[[#This Row],[Net Profit]]/Table32[[#This Row],[Cost]]</f>
        <v>1</v>
      </c>
      <c r="M502">
        <v>2146</v>
      </c>
      <c r="N502" s="7">
        <f>Table32[[#This Row],[Cost]]/Table32[[#This Row],[Units Sold]]</f>
        <v>0.5</v>
      </c>
      <c r="O502">
        <v>1073</v>
      </c>
      <c r="T502" s="1"/>
    </row>
    <row r="503" spans="1:20">
      <c r="A503">
        <v>2</v>
      </c>
      <c r="B503">
        <v>154432</v>
      </c>
      <c r="C503" t="s">
        <v>11</v>
      </c>
      <c r="D503" s="2">
        <v>544</v>
      </c>
      <c r="E503" s="1">
        <v>44075</v>
      </c>
      <c r="F503">
        <v>1</v>
      </c>
      <c r="G503">
        <v>9</v>
      </c>
      <c r="H503">
        <v>2020</v>
      </c>
      <c r="I503" s="5">
        <f>(Table32[[#This Row],[Revenue]]/Table32[[#This Row],[Units Sold]])</f>
        <v>1</v>
      </c>
      <c r="J503" s="5">
        <f>Table32[[#This Row],[revenue/unit]]-Table32[[#This Row],[Cost/unit]]</f>
        <v>0.5</v>
      </c>
      <c r="K503">
        <f>Table32[[#This Row],[Revenue]]-Table32[[#This Row],[Cost]]</f>
        <v>272</v>
      </c>
      <c r="L503" s="6">
        <f>Table32[[#This Row],[Net Profit]]/Table32[[#This Row],[Cost]]</f>
        <v>1</v>
      </c>
      <c r="M503">
        <v>544</v>
      </c>
      <c r="N503" s="7">
        <f>Table32[[#This Row],[Cost]]/Table32[[#This Row],[Units Sold]]</f>
        <v>0.5</v>
      </c>
      <c r="O503">
        <v>272</v>
      </c>
      <c r="T503" s="1"/>
    </row>
    <row r="504" spans="1:20">
      <c r="A504">
        <v>3</v>
      </c>
      <c r="B504">
        <v>724808</v>
      </c>
      <c r="C504" t="s">
        <v>11</v>
      </c>
      <c r="D504" s="2">
        <v>2328</v>
      </c>
      <c r="E504" s="1">
        <v>44075</v>
      </c>
      <c r="F504">
        <v>1</v>
      </c>
      <c r="G504">
        <v>9</v>
      </c>
      <c r="H504">
        <v>2020</v>
      </c>
      <c r="I504" s="5">
        <f>(Table32[[#This Row],[Revenue]]/Table32[[#This Row],[Units Sold]])</f>
        <v>1</v>
      </c>
      <c r="J504" s="5">
        <f>Table32[[#This Row],[revenue/unit]]-Table32[[#This Row],[Cost/unit]]</f>
        <v>0.5</v>
      </c>
      <c r="K504">
        <f>Table32[[#This Row],[Revenue]]-Table32[[#This Row],[Cost]]</f>
        <v>1164</v>
      </c>
      <c r="L504" s="6">
        <f>Table32[[#This Row],[Net Profit]]/Table32[[#This Row],[Cost]]</f>
        <v>1</v>
      </c>
      <c r="M504">
        <v>2328</v>
      </c>
      <c r="N504" s="7">
        <f>Table32[[#This Row],[Cost]]/Table32[[#This Row],[Units Sold]]</f>
        <v>0.5</v>
      </c>
      <c r="O504">
        <v>1164</v>
      </c>
      <c r="T504" s="1"/>
    </row>
    <row r="505" spans="1:20">
      <c r="A505">
        <v>4</v>
      </c>
      <c r="B505">
        <v>741765</v>
      </c>
      <c r="C505" t="s">
        <v>11</v>
      </c>
      <c r="D505" s="2">
        <v>2420</v>
      </c>
      <c r="E505" s="1">
        <v>44075</v>
      </c>
      <c r="F505">
        <v>1</v>
      </c>
      <c r="G505">
        <v>9</v>
      </c>
      <c r="H505">
        <v>2020</v>
      </c>
      <c r="I505" s="5">
        <f>(Table32[[#This Row],[Revenue]]/Table32[[#This Row],[Units Sold]])</f>
        <v>1</v>
      </c>
      <c r="J505" s="5">
        <f>Table32[[#This Row],[revenue/unit]]-Table32[[#This Row],[Cost/unit]]</f>
        <v>0.5</v>
      </c>
      <c r="K505">
        <f>Table32[[#This Row],[Revenue]]-Table32[[#This Row],[Cost]]</f>
        <v>1210</v>
      </c>
      <c r="L505" s="6">
        <f>Table32[[#This Row],[Net Profit]]/Table32[[#This Row],[Cost]]</f>
        <v>1</v>
      </c>
      <c r="M505">
        <v>2420</v>
      </c>
      <c r="N505" s="7">
        <f>Table32[[#This Row],[Cost]]/Table32[[#This Row],[Units Sold]]</f>
        <v>0.5</v>
      </c>
      <c r="O505">
        <v>1210</v>
      </c>
      <c r="T505" s="1"/>
    </row>
    <row r="506" spans="1:20">
      <c r="A506">
        <v>2</v>
      </c>
      <c r="B506">
        <v>397049</v>
      </c>
      <c r="C506" t="s">
        <v>11</v>
      </c>
      <c r="D506" s="2">
        <v>388</v>
      </c>
      <c r="E506" s="1">
        <v>44075</v>
      </c>
      <c r="F506">
        <v>1</v>
      </c>
      <c r="G506">
        <v>9</v>
      </c>
      <c r="H506">
        <v>2020</v>
      </c>
      <c r="I506" s="5">
        <f>(Table32[[#This Row],[Revenue]]/Table32[[#This Row],[Units Sold]])</f>
        <v>1</v>
      </c>
      <c r="J506" s="5">
        <f>Table32[[#This Row],[revenue/unit]]-Table32[[#This Row],[Cost/unit]]</f>
        <v>0.5</v>
      </c>
      <c r="K506">
        <f>Table32[[#This Row],[Revenue]]-Table32[[#This Row],[Cost]]</f>
        <v>194</v>
      </c>
      <c r="L506" s="6">
        <f>Table32[[#This Row],[Net Profit]]/Table32[[#This Row],[Cost]]</f>
        <v>1</v>
      </c>
      <c r="M506">
        <v>388</v>
      </c>
      <c r="N506" s="7">
        <f>Table32[[#This Row],[Cost]]/Table32[[#This Row],[Units Sold]]</f>
        <v>0.5</v>
      </c>
      <c r="O506">
        <v>194</v>
      </c>
      <c r="T506" s="1"/>
    </row>
    <row r="507" spans="1:20">
      <c r="A507">
        <v>3</v>
      </c>
      <c r="B507">
        <v>788478</v>
      </c>
      <c r="C507" t="s">
        <v>12</v>
      </c>
      <c r="D507" s="2">
        <v>1907</v>
      </c>
      <c r="E507" s="1">
        <v>44075</v>
      </c>
      <c r="F507">
        <v>1</v>
      </c>
      <c r="G507">
        <v>9</v>
      </c>
      <c r="H507">
        <v>2020</v>
      </c>
      <c r="I507" s="5">
        <f>(Table32[[#This Row],[Revenue]]/Table32[[#This Row],[Units Sold]])</f>
        <v>5</v>
      </c>
      <c r="J507" s="5">
        <f>Table32[[#This Row],[revenue/unit]]-Table32[[#This Row],[Cost/unit]]</f>
        <v>2.8</v>
      </c>
      <c r="K507">
        <f>Table32[[#This Row],[Revenue]]-Table32[[#This Row],[Cost]]</f>
        <v>5339.5999999999995</v>
      </c>
      <c r="L507" s="6">
        <f>Table32[[#This Row],[Net Profit]]/Table32[[#This Row],[Cost]]</f>
        <v>1.2727272727272725</v>
      </c>
      <c r="M507">
        <v>9535</v>
      </c>
      <c r="N507" s="7">
        <f>Table32[[#This Row],[Cost]]/Table32[[#This Row],[Units Sold]]</f>
        <v>2.2000000000000002</v>
      </c>
      <c r="O507">
        <v>4195.4000000000005</v>
      </c>
      <c r="T507" s="1"/>
    </row>
    <row r="508" spans="1:20">
      <c r="A508">
        <v>3</v>
      </c>
      <c r="B508">
        <v>551372</v>
      </c>
      <c r="C508" t="s">
        <v>12</v>
      </c>
      <c r="D508" s="2">
        <v>1679</v>
      </c>
      <c r="E508" s="1">
        <v>44075</v>
      </c>
      <c r="F508">
        <v>1</v>
      </c>
      <c r="G508">
        <v>9</v>
      </c>
      <c r="H508">
        <v>2020</v>
      </c>
      <c r="I508" s="5">
        <f>(Table32[[#This Row],[Revenue]]/Table32[[#This Row],[Units Sold]])</f>
        <v>5</v>
      </c>
      <c r="J508" s="5">
        <f>Table32[[#This Row],[revenue/unit]]-Table32[[#This Row],[Cost/unit]]</f>
        <v>2.8</v>
      </c>
      <c r="K508">
        <f>Table32[[#This Row],[Revenue]]-Table32[[#This Row],[Cost]]</f>
        <v>4701.2</v>
      </c>
      <c r="L508" s="6">
        <f>Table32[[#This Row],[Net Profit]]/Table32[[#This Row],[Cost]]</f>
        <v>1.2727272727272727</v>
      </c>
      <c r="M508">
        <v>8395</v>
      </c>
      <c r="N508" s="7">
        <f>Table32[[#This Row],[Cost]]/Table32[[#This Row],[Units Sold]]</f>
        <v>2.2000000000000002</v>
      </c>
      <c r="O508">
        <v>3693.8</v>
      </c>
      <c r="T508" s="1"/>
    </row>
    <row r="509" spans="1:20">
      <c r="A509">
        <v>3</v>
      </c>
      <c r="B509">
        <v>271981</v>
      </c>
      <c r="C509" t="s">
        <v>12</v>
      </c>
      <c r="D509" s="2">
        <v>2876</v>
      </c>
      <c r="E509" s="1">
        <v>44075</v>
      </c>
      <c r="F509">
        <v>1</v>
      </c>
      <c r="G509">
        <v>9</v>
      </c>
      <c r="H509">
        <v>2020</v>
      </c>
      <c r="I509" s="5">
        <f>(Table32[[#This Row],[Revenue]]/Table32[[#This Row],[Units Sold]])</f>
        <v>5</v>
      </c>
      <c r="J509" s="5">
        <f>Table32[[#This Row],[revenue/unit]]-Table32[[#This Row],[Cost/unit]]</f>
        <v>2.8</v>
      </c>
      <c r="K509">
        <f>Table32[[#This Row],[Revenue]]-Table32[[#This Row],[Cost]]</f>
        <v>8052.7999999999993</v>
      </c>
      <c r="L509" s="6">
        <f>Table32[[#This Row],[Net Profit]]/Table32[[#This Row],[Cost]]</f>
        <v>1.2727272727272725</v>
      </c>
      <c r="M509">
        <v>14380</v>
      </c>
      <c r="N509" s="7">
        <f>Table32[[#This Row],[Cost]]/Table32[[#This Row],[Units Sold]]</f>
        <v>2.2000000000000002</v>
      </c>
      <c r="O509">
        <v>6327.2000000000007</v>
      </c>
      <c r="T509" s="1"/>
    </row>
    <row r="510" spans="1:20">
      <c r="A510">
        <v>3</v>
      </c>
      <c r="B510">
        <v>444725</v>
      </c>
      <c r="C510" t="s">
        <v>12</v>
      </c>
      <c r="D510" s="2">
        <v>2071</v>
      </c>
      <c r="E510" s="1">
        <v>44075</v>
      </c>
      <c r="F510">
        <v>1</v>
      </c>
      <c r="G510">
        <v>9</v>
      </c>
      <c r="H510">
        <v>2020</v>
      </c>
      <c r="I510" s="5">
        <f>(Table32[[#This Row],[Revenue]]/Table32[[#This Row],[Units Sold]])</f>
        <v>5</v>
      </c>
      <c r="J510" s="5">
        <f>Table32[[#This Row],[revenue/unit]]-Table32[[#This Row],[Cost/unit]]</f>
        <v>2.8</v>
      </c>
      <c r="K510">
        <f>Table32[[#This Row],[Revenue]]-Table32[[#This Row],[Cost]]</f>
        <v>5798.7999999999993</v>
      </c>
      <c r="L510" s="6">
        <f>Table32[[#This Row],[Net Profit]]/Table32[[#This Row],[Cost]]</f>
        <v>1.2727272727272723</v>
      </c>
      <c r="M510">
        <v>10355</v>
      </c>
      <c r="N510" s="7">
        <f>Table32[[#This Row],[Cost]]/Table32[[#This Row],[Units Sold]]</f>
        <v>2.2000000000000002</v>
      </c>
      <c r="O510">
        <v>4556.2000000000007</v>
      </c>
      <c r="T510" s="1"/>
    </row>
    <row r="511" spans="1:20">
      <c r="A511">
        <v>3</v>
      </c>
      <c r="B511">
        <v>267107</v>
      </c>
      <c r="C511" t="s">
        <v>12</v>
      </c>
      <c r="D511" s="2">
        <v>707</v>
      </c>
      <c r="E511" s="1">
        <v>44075</v>
      </c>
      <c r="F511">
        <v>1</v>
      </c>
      <c r="G511">
        <v>9</v>
      </c>
      <c r="H511">
        <v>2020</v>
      </c>
      <c r="I511" s="5">
        <f>(Table32[[#This Row],[Revenue]]/Table32[[#This Row],[Units Sold]])</f>
        <v>5</v>
      </c>
      <c r="J511" s="5">
        <f>Table32[[#This Row],[revenue/unit]]-Table32[[#This Row],[Cost/unit]]</f>
        <v>2.8</v>
      </c>
      <c r="K511">
        <f>Table32[[#This Row],[Revenue]]-Table32[[#This Row],[Cost]]</f>
        <v>1979.6</v>
      </c>
      <c r="L511" s="6">
        <f>Table32[[#This Row],[Net Profit]]/Table32[[#This Row],[Cost]]</f>
        <v>1.2727272727272725</v>
      </c>
      <c r="M511">
        <v>3535</v>
      </c>
      <c r="N511" s="7">
        <f>Table32[[#This Row],[Cost]]/Table32[[#This Row],[Units Sold]]</f>
        <v>2.2000000000000002</v>
      </c>
      <c r="O511">
        <v>1555.4</v>
      </c>
      <c r="T511" s="1"/>
    </row>
    <row r="512" spans="1:20">
      <c r="A512">
        <v>4</v>
      </c>
      <c r="B512">
        <v>869055</v>
      </c>
      <c r="C512" t="s">
        <v>13</v>
      </c>
      <c r="D512" s="2">
        <v>1445</v>
      </c>
      <c r="E512" s="1">
        <v>44075</v>
      </c>
      <c r="F512">
        <v>1</v>
      </c>
      <c r="G512">
        <v>9</v>
      </c>
      <c r="H512">
        <v>2020</v>
      </c>
      <c r="I512" s="5">
        <f>(Table32[[#This Row],[Revenue]]/Table32[[#This Row],[Units Sold]])</f>
        <v>4</v>
      </c>
      <c r="J512" s="5">
        <f>Table32[[#This Row],[revenue/unit]]-Table32[[#This Row],[Cost/unit]]</f>
        <v>2.5</v>
      </c>
      <c r="K512">
        <f>Table32[[#This Row],[Revenue]]-Table32[[#This Row],[Cost]]</f>
        <v>3612.5</v>
      </c>
      <c r="L512" s="6">
        <f>Table32[[#This Row],[Net Profit]]/Table32[[#This Row],[Cost]]</f>
        <v>1.6666666666666667</v>
      </c>
      <c r="M512">
        <v>5780</v>
      </c>
      <c r="N512" s="7">
        <f>Table32[[#This Row],[Cost]]/Table32[[#This Row],[Units Sold]]</f>
        <v>1.5</v>
      </c>
      <c r="O512">
        <v>2167.5</v>
      </c>
      <c r="T512" s="1"/>
    </row>
    <row r="513" spans="1:20">
      <c r="A513">
        <v>5</v>
      </c>
      <c r="B513">
        <v>111799</v>
      </c>
      <c r="C513" t="s">
        <v>13</v>
      </c>
      <c r="D513" s="2">
        <v>2671</v>
      </c>
      <c r="E513" s="1">
        <v>44075</v>
      </c>
      <c r="F513">
        <v>1</v>
      </c>
      <c r="G513">
        <v>9</v>
      </c>
      <c r="H513">
        <v>2020</v>
      </c>
      <c r="I513" s="5">
        <f>(Table32[[#This Row],[Revenue]]/Table32[[#This Row],[Units Sold]])</f>
        <v>4</v>
      </c>
      <c r="J513" s="5">
        <f>Table32[[#This Row],[revenue/unit]]-Table32[[#This Row],[Cost/unit]]</f>
        <v>2.5</v>
      </c>
      <c r="K513">
        <f>Table32[[#This Row],[Revenue]]-Table32[[#This Row],[Cost]]</f>
        <v>6677.5</v>
      </c>
      <c r="L513" s="6">
        <f>Table32[[#This Row],[Net Profit]]/Table32[[#This Row],[Cost]]</f>
        <v>1.6666666666666667</v>
      </c>
      <c r="M513">
        <v>10684</v>
      </c>
      <c r="N513" s="7">
        <f>Table32[[#This Row],[Cost]]/Table32[[#This Row],[Units Sold]]</f>
        <v>1.5</v>
      </c>
      <c r="O513">
        <v>4006.5</v>
      </c>
      <c r="T513" s="1"/>
    </row>
    <row r="514" spans="1:20">
      <c r="A514">
        <v>3</v>
      </c>
      <c r="B514">
        <v>863607</v>
      </c>
      <c r="C514" t="s">
        <v>13</v>
      </c>
      <c r="D514" s="2">
        <v>1947</v>
      </c>
      <c r="E514" s="1">
        <v>44075</v>
      </c>
      <c r="F514">
        <v>1</v>
      </c>
      <c r="G514">
        <v>9</v>
      </c>
      <c r="H514">
        <v>2020</v>
      </c>
      <c r="I514" s="5">
        <f>(Table32[[#This Row],[Revenue]]/Table32[[#This Row],[Units Sold]])</f>
        <v>4</v>
      </c>
      <c r="J514" s="5">
        <f>Table32[[#This Row],[revenue/unit]]-Table32[[#This Row],[Cost/unit]]</f>
        <v>2.5</v>
      </c>
      <c r="K514">
        <f>Table32[[#This Row],[Revenue]]-Table32[[#This Row],[Cost]]</f>
        <v>4867.5</v>
      </c>
      <c r="L514" s="6">
        <f>Table32[[#This Row],[Net Profit]]/Table32[[#This Row],[Cost]]</f>
        <v>1.6666666666666667</v>
      </c>
      <c r="M514">
        <v>7788</v>
      </c>
      <c r="N514" s="7">
        <f>Table32[[#This Row],[Cost]]/Table32[[#This Row],[Units Sold]]</f>
        <v>1.5</v>
      </c>
      <c r="O514">
        <v>2920.5</v>
      </c>
      <c r="T514" s="1"/>
    </row>
    <row r="515" spans="1:20">
      <c r="A515">
        <v>4</v>
      </c>
      <c r="B515">
        <v>443447</v>
      </c>
      <c r="C515" t="s">
        <v>13</v>
      </c>
      <c r="D515" s="2">
        <v>562</v>
      </c>
      <c r="E515" s="1">
        <v>44075</v>
      </c>
      <c r="F515">
        <v>1</v>
      </c>
      <c r="G515">
        <v>9</v>
      </c>
      <c r="H515">
        <v>2020</v>
      </c>
      <c r="I515" s="5">
        <f>(Table32[[#This Row],[Revenue]]/Table32[[#This Row],[Units Sold]])</f>
        <v>4</v>
      </c>
      <c r="J515" s="5">
        <f>Table32[[#This Row],[revenue/unit]]-Table32[[#This Row],[Cost/unit]]</f>
        <v>2.5</v>
      </c>
      <c r="K515">
        <f>Table32[[#This Row],[Revenue]]-Table32[[#This Row],[Cost]]</f>
        <v>1405</v>
      </c>
      <c r="L515" s="6">
        <f>Table32[[#This Row],[Net Profit]]/Table32[[#This Row],[Cost]]</f>
        <v>1.6666666666666667</v>
      </c>
      <c r="M515">
        <v>2248</v>
      </c>
      <c r="N515" s="7">
        <f>Table32[[#This Row],[Cost]]/Table32[[#This Row],[Units Sold]]</f>
        <v>1.5</v>
      </c>
      <c r="O515">
        <v>843</v>
      </c>
      <c r="T515" s="1"/>
    </row>
    <row r="516" spans="1:20">
      <c r="A516">
        <v>2</v>
      </c>
      <c r="B516">
        <v>203224</v>
      </c>
      <c r="C516" t="s">
        <v>13</v>
      </c>
      <c r="D516" s="2">
        <v>1580</v>
      </c>
      <c r="E516" s="1">
        <v>44075</v>
      </c>
      <c r="F516">
        <v>1</v>
      </c>
      <c r="G516">
        <v>9</v>
      </c>
      <c r="H516">
        <v>2020</v>
      </c>
      <c r="I516" s="5">
        <f>(Table32[[#This Row],[Revenue]]/Table32[[#This Row],[Units Sold]])</f>
        <v>4</v>
      </c>
      <c r="J516" s="5">
        <f>Table32[[#This Row],[revenue/unit]]-Table32[[#This Row],[Cost/unit]]</f>
        <v>2.5</v>
      </c>
      <c r="K516">
        <f>Table32[[#This Row],[Revenue]]-Table32[[#This Row],[Cost]]</f>
        <v>3950</v>
      </c>
      <c r="L516" s="6">
        <f>Table32[[#This Row],[Net Profit]]/Table32[[#This Row],[Cost]]</f>
        <v>1.6666666666666667</v>
      </c>
      <c r="M516">
        <v>6320</v>
      </c>
      <c r="N516" s="7">
        <f>Table32[[#This Row],[Cost]]/Table32[[#This Row],[Units Sold]]</f>
        <v>1.5</v>
      </c>
      <c r="O516">
        <v>2370</v>
      </c>
      <c r="T516" s="1"/>
    </row>
    <row r="517" spans="1:20">
      <c r="A517">
        <v>5</v>
      </c>
      <c r="B517">
        <v>505496</v>
      </c>
      <c r="C517" t="s">
        <v>14</v>
      </c>
      <c r="D517" s="2">
        <v>2151</v>
      </c>
      <c r="E517" s="1">
        <v>44075</v>
      </c>
      <c r="F517">
        <v>1</v>
      </c>
      <c r="G517">
        <v>9</v>
      </c>
      <c r="H517">
        <v>2020</v>
      </c>
      <c r="I517" s="5">
        <f>(Table32[[#This Row],[Revenue]]/Table32[[#This Row],[Units Sold]])</f>
        <v>3</v>
      </c>
      <c r="J517" s="5">
        <f>Table32[[#This Row],[revenue/unit]]-Table32[[#This Row],[Cost/unit]]</f>
        <v>1.75</v>
      </c>
      <c r="K517">
        <f>Table32[[#This Row],[Revenue]]-Table32[[#This Row],[Cost]]</f>
        <v>3764.25</v>
      </c>
      <c r="L517" s="6">
        <f>Table32[[#This Row],[Net Profit]]/Table32[[#This Row],[Cost]]</f>
        <v>1.4</v>
      </c>
      <c r="M517">
        <v>6453</v>
      </c>
      <c r="N517" s="7">
        <f>Table32[[#This Row],[Cost]]/Table32[[#This Row],[Units Sold]]</f>
        <v>1.25</v>
      </c>
      <c r="O517">
        <v>2688.75</v>
      </c>
      <c r="T517" s="1"/>
    </row>
    <row r="518" spans="1:20">
      <c r="A518">
        <v>2</v>
      </c>
      <c r="B518">
        <v>354480</v>
      </c>
      <c r="C518" t="s">
        <v>14</v>
      </c>
      <c r="D518" s="2">
        <v>986</v>
      </c>
      <c r="E518" s="1">
        <v>44075</v>
      </c>
      <c r="F518">
        <v>1</v>
      </c>
      <c r="G518">
        <v>9</v>
      </c>
      <c r="H518">
        <v>2020</v>
      </c>
      <c r="I518" s="5">
        <f>(Table32[[#This Row],[Revenue]]/Table32[[#This Row],[Units Sold]])</f>
        <v>3</v>
      </c>
      <c r="J518" s="5">
        <f>Table32[[#This Row],[revenue/unit]]-Table32[[#This Row],[Cost/unit]]</f>
        <v>1.75</v>
      </c>
      <c r="K518">
        <f>Table32[[#This Row],[Revenue]]-Table32[[#This Row],[Cost]]</f>
        <v>1725.5</v>
      </c>
      <c r="L518" s="6">
        <f>Table32[[#This Row],[Net Profit]]/Table32[[#This Row],[Cost]]</f>
        <v>1.4</v>
      </c>
      <c r="M518">
        <v>2958</v>
      </c>
      <c r="N518" s="7">
        <f>Table32[[#This Row],[Cost]]/Table32[[#This Row],[Units Sold]]</f>
        <v>1.25</v>
      </c>
      <c r="O518">
        <v>1232.5</v>
      </c>
      <c r="T518" s="1"/>
    </row>
    <row r="519" spans="1:20">
      <c r="A519">
        <v>4</v>
      </c>
      <c r="B519">
        <v>711362</v>
      </c>
      <c r="C519" t="s">
        <v>14</v>
      </c>
      <c r="D519" s="2">
        <v>2134</v>
      </c>
      <c r="E519" s="1">
        <v>44075</v>
      </c>
      <c r="F519">
        <v>1</v>
      </c>
      <c r="G519">
        <v>9</v>
      </c>
      <c r="H519">
        <v>2020</v>
      </c>
      <c r="I519" s="5">
        <f>(Table32[[#This Row],[Revenue]]/Table32[[#This Row],[Units Sold]])</f>
        <v>3</v>
      </c>
      <c r="J519" s="5">
        <f>Table32[[#This Row],[revenue/unit]]-Table32[[#This Row],[Cost/unit]]</f>
        <v>1.75</v>
      </c>
      <c r="K519">
        <f>Table32[[#This Row],[Revenue]]-Table32[[#This Row],[Cost]]</f>
        <v>3734.5</v>
      </c>
      <c r="L519" s="6">
        <f>Table32[[#This Row],[Net Profit]]/Table32[[#This Row],[Cost]]</f>
        <v>1.4</v>
      </c>
      <c r="M519">
        <v>6402</v>
      </c>
      <c r="N519" s="7">
        <f>Table32[[#This Row],[Cost]]/Table32[[#This Row],[Units Sold]]</f>
        <v>1.25</v>
      </c>
      <c r="O519">
        <v>2667.5</v>
      </c>
      <c r="T519" s="1"/>
    </row>
    <row r="520" spans="1:20">
      <c r="A520">
        <v>2</v>
      </c>
      <c r="B520">
        <v>390355</v>
      </c>
      <c r="C520" t="s">
        <v>14</v>
      </c>
      <c r="D520" s="2">
        <v>1867</v>
      </c>
      <c r="E520" s="1">
        <v>44075</v>
      </c>
      <c r="F520">
        <v>1</v>
      </c>
      <c r="G520">
        <v>9</v>
      </c>
      <c r="H520">
        <v>2020</v>
      </c>
      <c r="I520" s="5">
        <f>(Table32[[#This Row],[Revenue]]/Table32[[#This Row],[Units Sold]])</f>
        <v>3</v>
      </c>
      <c r="J520" s="5">
        <f>Table32[[#This Row],[revenue/unit]]-Table32[[#This Row],[Cost/unit]]</f>
        <v>1.75</v>
      </c>
      <c r="K520">
        <f>Table32[[#This Row],[Revenue]]-Table32[[#This Row],[Cost]]</f>
        <v>3267.25</v>
      </c>
      <c r="L520" s="6">
        <f>Table32[[#This Row],[Net Profit]]/Table32[[#This Row],[Cost]]</f>
        <v>1.4</v>
      </c>
      <c r="M520">
        <v>5601</v>
      </c>
      <c r="N520" s="7">
        <f>Table32[[#This Row],[Cost]]/Table32[[#This Row],[Units Sold]]</f>
        <v>1.25</v>
      </c>
      <c r="O520">
        <v>2333.75</v>
      </c>
      <c r="T520" s="1"/>
    </row>
    <row r="521" spans="1:20">
      <c r="A521">
        <v>5</v>
      </c>
      <c r="B521">
        <v>494850</v>
      </c>
      <c r="C521" t="s">
        <v>14</v>
      </c>
      <c r="D521" s="2">
        <v>432</v>
      </c>
      <c r="E521" s="1">
        <v>44075</v>
      </c>
      <c r="F521">
        <v>1</v>
      </c>
      <c r="G521">
        <v>9</v>
      </c>
      <c r="H521">
        <v>2020</v>
      </c>
      <c r="I521" s="5">
        <f>(Table32[[#This Row],[Revenue]]/Table32[[#This Row],[Units Sold]])</f>
        <v>3</v>
      </c>
      <c r="J521" s="5">
        <f>Table32[[#This Row],[revenue/unit]]-Table32[[#This Row],[Cost/unit]]</f>
        <v>1.75</v>
      </c>
      <c r="K521">
        <f>Table32[[#This Row],[Revenue]]-Table32[[#This Row],[Cost]]</f>
        <v>756</v>
      </c>
      <c r="L521" s="6">
        <f>Table32[[#This Row],[Net Profit]]/Table32[[#This Row],[Cost]]</f>
        <v>1.4</v>
      </c>
      <c r="M521">
        <v>1296</v>
      </c>
      <c r="N521" s="7">
        <f>Table32[[#This Row],[Cost]]/Table32[[#This Row],[Units Sold]]</f>
        <v>1.25</v>
      </c>
      <c r="O521">
        <v>540</v>
      </c>
      <c r="T521" s="1"/>
    </row>
    <row r="522" spans="1:20">
      <c r="A522">
        <v>1</v>
      </c>
      <c r="B522">
        <v>529471</v>
      </c>
      <c r="C522" t="s">
        <v>15</v>
      </c>
      <c r="D522" s="2">
        <v>2087</v>
      </c>
      <c r="E522" s="1">
        <v>44075</v>
      </c>
      <c r="F522">
        <v>1</v>
      </c>
      <c r="G522">
        <v>9</v>
      </c>
      <c r="H522">
        <v>2020</v>
      </c>
      <c r="I522" s="5">
        <f>(Table32[[#This Row],[Revenue]]/Table32[[#This Row],[Units Sold]])</f>
        <v>6</v>
      </c>
      <c r="J522" s="5">
        <f>Table32[[#This Row],[revenue/unit]]-Table32[[#This Row],[Cost/unit]]</f>
        <v>3.25</v>
      </c>
      <c r="K522">
        <f>Table32[[#This Row],[Revenue]]-Table32[[#This Row],[Cost]]</f>
        <v>6782.75</v>
      </c>
      <c r="L522" s="6">
        <f>Table32[[#This Row],[Net Profit]]/Table32[[#This Row],[Cost]]</f>
        <v>1.1818181818181819</v>
      </c>
      <c r="M522">
        <v>12522</v>
      </c>
      <c r="N522" s="7">
        <f>Table32[[#This Row],[Cost]]/Table32[[#This Row],[Units Sold]]</f>
        <v>2.75</v>
      </c>
      <c r="O522">
        <v>5739.25</v>
      </c>
      <c r="T522" s="1"/>
    </row>
    <row r="523" spans="1:20">
      <c r="A523">
        <v>2</v>
      </c>
      <c r="B523">
        <v>609418</v>
      </c>
      <c r="C523" t="s">
        <v>15</v>
      </c>
      <c r="D523" s="2">
        <v>567</v>
      </c>
      <c r="E523" s="1">
        <v>44075</v>
      </c>
      <c r="F523">
        <v>1</v>
      </c>
      <c r="G523">
        <v>9</v>
      </c>
      <c r="H523">
        <v>2020</v>
      </c>
      <c r="I523" s="5">
        <f>(Table32[[#This Row],[Revenue]]/Table32[[#This Row],[Units Sold]])</f>
        <v>6</v>
      </c>
      <c r="J523" s="5">
        <f>Table32[[#This Row],[revenue/unit]]-Table32[[#This Row],[Cost/unit]]</f>
        <v>3.25</v>
      </c>
      <c r="K523">
        <f>Table32[[#This Row],[Revenue]]-Table32[[#This Row],[Cost]]</f>
        <v>1842.75</v>
      </c>
      <c r="L523" s="6">
        <f>Table32[[#This Row],[Net Profit]]/Table32[[#This Row],[Cost]]</f>
        <v>1.1818181818181819</v>
      </c>
      <c r="M523">
        <v>3402</v>
      </c>
      <c r="N523" s="7">
        <f>Table32[[#This Row],[Cost]]/Table32[[#This Row],[Units Sold]]</f>
        <v>2.75</v>
      </c>
      <c r="O523">
        <v>1559.25</v>
      </c>
      <c r="T523" s="1"/>
    </row>
    <row r="524" spans="1:20">
      <c r="A524">
        <v>5</v>
      </c>
      <c r="B524">
        <v>764088</v>
      </c>
      <c r="C524" t="s">
        <v>15</v>
      </c>
      <c r="D524" s="2">
        <v>2110</v>
      </c>
      <c r="E524" s="1">
        <v>44075</v>
      </c>
      <c r="F524">
        <v>1</v>
      </c>
      <c r="G524">
        <v>9</v>
      </c>
      <c r="H524">
        <v>2020</v>
      </c>
      <c r="I524" s="5">
        <f>(Table32[[#This Row],[Revenue]]/Table32[[#This Row],[Units Sold]])</f>
        <v>6</v>
      </c>
      <c r="J524" s="5">
        <f>Table32[[#This Row],[revenue/unit]]-Table32[[#This Row],[Cost/unit]]</f>
        <v>3.25</v>
      </c>
      <c r="K524">
        <f>Table32[[#This Row],[Revenue]]-Table32[[#This Row],[Cost]]</f>
        <v>6857.5</v>
      </c>
      <c r="L524" s="6">
        <f>Table32[[#This Row],[Net Profit]]/Table32[[#This Row],[Cost]]</f>
        <v>1.1818181818181819</v>
      </c>
      <c r="M524">
        <v>12660</v>
      </c>
      <c r="N524" s="7">
        <f>Table32[[#This Row],[Cost]]/Table32[[#This Row],[Units Sold]]</f>
        <v>2.75</v>
      </c>
      <c r="O524">
        <v>5802.5</v>
      </c>
      <c r="T524" s="1"/>
    </row>
    <row r="525" spans="1:20">
      <c r="A525">
        <v>3</v>
      </c>
      <c r="B525">
        <v>748204</v>
      </c>
      <c r="C525" t="s">
        <v>15</v>
      </c>
      <c r="D525" s="2">
        <v>1596</v>
      </c>
      <c r="E525" s="1">
        <v>44075</v>
      </c>
      <c r="F525">
        <v>1</v>
      </c>
      <c r="G525">
        <v>9</v>
      </c>
      <c r="H525">
        <v>2020</v>
      </c>
      <c r="I525" s="5">
        <f>(Table32[[#This Row],[Revenue]]/Table32[[#This Row],[Units Sold]])</f>
        <v>6</v>
      </c>
      <c r="J525" s="5">
        <f>Table32[[#This Row],[revenue/unit]]-Table32[[#This Row],[Cost/unit]]</f>
        <v>3.25</v>
      </c>
      <c r="K525">
        <f>Table32[[#This Row],[Revenue]]-Table32[[#This Row],[Cost]]</f>
        <v>5187</v>
      </c>
      <c r="L525" s="6">
        <f>Table32[[#This Row],[Net Profit]]/Table32[[#This Row],[Cost]]</f>
        <v>1.1818181818181819</v>
      </c>
      <c r="M525">
        <v>9576</v>
      </c>
      <c r="N525" s="7">
        <f>Table32[[#This Row],[Cost]]/Table32[[#This Row],[Units Sold]]</f>
        <v>2.75</v>
      </c>
      <c r="O525">
        <v>4389</v>
      </c>
      <c r="T525" s="1"/>
    </row>
    <row r="526" spans="1:20">
      <c r="A526">
        <v>2</v>
      </c>
      <c r="B526">
        <v>253981</v>
      </c>
      <c r="C526" t="s">
        <v>15</v>
      </c>
      <c r="D526" s="2">
        <v>663</v>
      </c>
      <c r="E526" s="1">
        <v>44075</v>
      </c>
      <c r="F526">
        <v>1</v>
      </c>
      <c r="G526">
        <v>9</v>
      </c>
      <c r="H526">
        <v>2020</v>
      </c>
      <c r="I526" s="5">
        <f>(Table32[[#This Row],[Revenue]]/Table32[[#This Row],[Units Sold]])</f>
        <v>6</v>
      </c>
      <c r="J526" s="5">
        <f>Table32[[#This Row],[revenue/unit]]-Table32[[#This Row],[Cost/unit]]</f>
        <v>3.25</v>
      </c>
      <c r="K526">
        <f>Table32[[#This Row],[Revenue]]-Table32[[#This Row],[Cost]]</f>
        <v>2154.75</v>
      </c>
      <c r="L526" s="6">
        <f>Table32[[#This Row],[Net Profit]]/Table32[[#This Row],[Cost]]</f>
        <v>1.1818181818181819</v>
      </c>
      <c r="M526">
        <v>3978</v>
      </c>
      <c r="N526" s="7">
        <f>Table32[[#This Row],[Cost]]/Table32[[#This Row],[Units Sold]]</f>
        <v>2.75</v>
      </c>
      <c r="O526">
        <v>1823.25</v>
      </c>
      <c r="T526" s="1"/>
    </row>
    <row r="527" spans="1:20">
      <c r="A527">
        <v>2</v>
      </c>
      <c r="B527">
        <v>308620</v>
      </c>
      <c r="C527" t="s">
        <v>10</v>
      </c>
      <c r="D527" s="2">
        <v>1143</v>
      </c>
      <c r="E527" s="1">
        <v>44105</v>
      </c>
      <c r="F527">
        <v>1</v>
      </c>
      <c r="G527">
        <v>10</v>
      </c>
      <c r="H527">
        <v>2020</v>
      </c>
      <c r="I527" s="5">
        <f>(Table32[[#This Row],[Revenue]]/Table32[[#This Row],[Units Sold]])</f>
        <v>5</v>
      </c>
      <c r="J527" s="5">
        <f>Table32[[#This Row],[revenue/unit]]-Table32[[#This Row],[Cost/unit]]</f>
        <v>3</v>
      </c>
      <c r="K527">
        <f>Table32[[#This Row],[Revenue]]-Table32[[#This Row],[Cost]]</f>
        <v>3429</v>
      </c>
      <c r="L527" s="6">
        <f>Table32[[#This Row],[Net Profit]]/Table32[[#This Row],[Cost]]</f>
        <v>1.5</v>
      </c>
      <c r="M527">
        <v>5715</v>
      </c>
      <c r="N527" s="7">
        <f>Table32[[#This Row],[Cost]]/Table32[[#This Row],[Units Sold]]</f>
        <v>2</v>
      </c>
      <c r="O527">
        <v>2286</v>
      </c>
      <c r="T527" s="1"/>
    </row>
    <row r="528" spans="1:20">
      <c r="A528">
        <v>4</v>
      </c>
      <c r="B528">
        <v>776532</v>
      </c>
      <c r="C528" t="s">
        <v>10</v>
      </c>
      <c r="D528" s="2">
        <v>1295</v>
      </c>
      <c r="E528" s="1">
        <v>44105</v>
      </c>
      <c r="F528">
        <v>1</v>
      </c>
      <c r="G528">
        <v>10</v>
      </c>
      <c r="H528">
        <v>2020</v>
      </c>
      <c r="I528" s="5">
        <f>(Table32[[#This Row],[Revenue]]/Table32[[#This Row],[Units Sold]])</f>
        <v>5</v>
      </c>
      <c r="J528" s="5">
        <f>Table32[[#This Row],[revenue/unit]]-Table32[[#This Row],[Cost/unit]]</f>
        <v>3</v>
      </c>
      <c r="K528">
        <f>Table32[[#This Row],[Revenue]]-Table32[[#This Row],[Cost]]</f>
        <v>3885</v>
      </c>
      <c r="L528" s="6">
        <f>Table32[[#This Row],[Net Profit]]/Table32[[#This Row],[Cost]]</f>
        <v>1.5</v>
      </c>
      <c r="M528">
        <v>6475</v>
      </c>
      <c r="N528" s="7">
        <f>Table32[[#This Row],[Cost]]/Table32[[#This Row],[Units Sold]]</f>
        <v>2</v>
      </c>
      <c r="O528">
        <v>2590</v>
      </c>
      <c r="T528" s="1"/>
    </row>
    <row r="529" spans="1:20">
      <c r="A529">
        <v>2</v>
      </c>
      <c r="B529">
        <v>164895</v>
      </c>
      <c r="C529" t="s">
        <v>10</v>
      </c>
      <c r="D529" s="2">
        <v>2009</v>
      </c>
      <c r="E529" s="1">
        <v>44105</v>
      </c>
      <c r="F529">
        <v>1</v>
      </c>
      <c r="G529">
        <v>10</v>
      </c>
      <c r="H529">
        <v>2020</v>
      </c>
      <c r="I529" s="5">
        <f>(Table32[[#This Row],[Revenue]]/Table32[[#This Row],[Units Sold]])</f>
        <v>5</v>
      </c>
      <c r="J529" s="5">
        <f>Table32[[#This Row],[revenue/unit]]-Table32[[#This Row],[Cost/unit]]</f>
        <v>3</v>
      </c>
      <c r="K529">
        <f>Table32[[#This Row],[Revenue]]-Table32[[#This Row],[Cost]]</f>
        <v>6027</v>
      </c>
      <c r="L529" s="6">
        <f>Table32[[#This Row],[Net Profit]]/Table32[[#This Row],[Cost]]</f>
        <v>1.5</v>
      </c>
      <c r="M529">
        <v>10045</v>
      </c>
      <c r="N529" s="7">
        <f>Table32[[#This Row],[Cost]]/Table32[[#This Row],[Units Sold]]</f>
        <v>2</v>
      </c>
      <c r="O529">
        <v>4018</v>
      </c>
      <c r="T529" s="1"/>
    </row>
    <row r="530" spans="1:20">
      <c r="A530">
        <v>4</v>
      </c>
      <c r="B530">
        <v>872825</v>
      </c>
      <c r="C530" t="s">
        <v>10</v>
      </c>
      <c r="D530" s="2">
        <v>2031</v>
      </c>
      <c r="E530" s="1">
        <v>44105</v>
      </c>
      <c r="F530">
        <v>1</v>
      </c>
      <c r="G530">
        <v>10</v>
      </c>
      <c r="H530">
        <v>2020</v>
      </c>
      <c r="I530" s="5">
        <f>(Table32[[#This Row],[Revenue]]/Table32[[#This Row],[Units Sold]])</f>
        <v>5</v>
      </c>
      <c r="J530" s="5">
        <f>Table32[[#This Row],[revenue/unit]]-Table32[[#This Row],[Cost/unit]]</f>
        <v>3</v>
      </c>
      <c r="K530">
        <f>Table32[[#This Row],[Revenue]]-Table32[[#This Row],[Cost]]</f>
        <v>6093</v>
      </c>
      <c r="L530" s="6">
        <f>Table32[[#This Row],[Net Profit]]/Table32[[#This Row],[Cost]]</f>
        <v>1.5</v>
      </c>
      <c r="M530">
        <v>10155</v>
      </c>
      <c r="N530" s="7">
        <f>Table32[[#This Row],[Cost]]/Table32[[#This Row],[Units Sold]]</f>
        <v>2</v>
      </c>
      <c r="O530">
        <v>4062</v>
      </c>
      <c r="T530" s="1"/>
    </row>
    <row r="531" spans="1:20">
      <c r="A531">
        <v>5</v>
      </c>
      <c r="B531">
        <v>335658</v>
      </c>
      <c r="C531" t="s">
        <v>10</v>
      </c>
      <c r="D531" s="2">
        <v>2689</v>
      </c>
      <c r="E531" s="1">
        <v>44105</v>
      </c>
      <c r="F531">
        <v>1</v>
      </c>
      <c r="G531">
        <v>10</v>
      </c>
      <c r="H531">
        <v>2020</v>
      </c>
      <c r="I531" s="5">
        <f>(Table32[[#This Row],[Revenue]]/Table32[[#This Row],[Units Sold]])</f>
        <v>5</v>
      </c>
      <c r="J531" s="5">
        <f>Table32[[#This Row],[revenue/unit]]-Table32[[#This Row],[Cost/unit]]</f>
        <v>3</v>
      </c>
      <c r="K531">
        <f>Table32[[#This Row],[Revenue]]-Table32[[#This Row],[Cost]]</f>
        <v>8067</v>
      </c>
      <c r="L531" s="6">
        <f>Table32[[#This Row],[Net Profit]]/Table32[[#This Row],[Cost]]</f>
        <v>1.5</v>
      </c>
      <c r="M531">
        <v>13445</v>
      </c>
      <c r="N531" s="7">
        <f>Table32[[#This Row],[Cost]]/Table32[[#This Row],[Units Sold]]</f>
        <v>2</v>
      </c>
      <c r="O531">
        <v>5378</v>
      </c>
      <c r="T531" s="1"/>
    </row>
    <row r="532" spans="1:20">
      <c r="A532">
        <v>1</v>
      </c>
      <c r="B532">
        <v>852827</v>
      </c>
      <c r="C532" t="s">
        <v>10</v>
      </c>
      <c r="D532" s="2">
        <v>861</v>
      </c>
      <c r="E532" s="1">
        <v>44105</v>
      </c>
      <c r="F532">
        <v>1</v>
      </c>
      <c r="G532">
        <v>10</v>
      </c>
      <c r="H532">
        <v>2020</v>
      </c>
      <c r="I532" s="5">
        <f>(Table32[[#This Row],[Revenue]]/Table32[[#This Row],[Units Sold]])</f>
        <v>5</v>
      </c>
      <c r="J532" s="5">
        <f>Table32[[#This Row],[revenue/unit]]-Table32[[#This Row],[Cost/unit]]</f>
        <v>3</v>
      </c>
      <c r="K532">
        <f>Table32[[#This Row],[Revenue]]-Table32[[#This Row],[Cost]]</f>
        <v>2583</v>
      </c>
      <c r="L532" s="6">
        <f>Table32[[#This Row],[Net Profit]]/Table32[[#This Row],[Cost]]</f>
        <v>1.5</v>
      </c>
      <c r="M532">
        <v>4305</v>
      </c>
      <c r="N532" s="7">
        <f>Table32[[#This Row],[Cost]]/Table32[[#This Row],[Units Sold]]</f>
        <v>2</v>
      </c>
      <c r="O532">
        <v>1722</v>
      </c>
      <c r="T532" s="1"/>
    </row>
    <row r="533" spans="1:20">
      <c r="A533">
        <v>2</v>
      </c>
      <c r="B533">
        <v>203608</v>
      </c>
      <c r="C533" t="s">
        <v>10</v>
      </c>
      <c r="D533" s="2">
        <v>1153</v>
      </c>
      <c r="E533" s="1">
        <v>44105</v>
      </c>
      <c r="F533">
        <v>1</v>
      </c>
      <c r="G533">
        <v>10</v>
      </c>
      <c r="H533">
        <v>2020</v>
      </c>
      <c r="I533" s="5">
        <f>(Table32[[#This Row],[Revenue]]/Table32[[#This Row],[Units Sold]])</f>
        <v>5</v>
      </c>
      <c r="J533" s="5">
        <f>Table32[[#This Row],[revenue/unit]]-Table32[[#This Row],[Cost/unit]]</f>
        <v>3</v>
      </c>
      <c r="K533">
        <f>Table32[[#This Row],[Revenue]]-Table32[[#This Row],[Cost]]</f>
        <v>3459</v>
      </c>
      <c r="L533" s="6">
        <f>Table32[[#This Row],[Net Profit]]/Table32[[#This Row],[Cost]]</f>
        <v>1.5</v>
      </c>
      <c r="M533">
        <v>5765</v>
      </c>
      <c r="N533" s="7">
        <f>Table32[[#This Row],[Cost]]/Table32[[#This Row],[Units Sold]]</f>
        <v>2</v>
      </c>
      <c r="O533">
        <v>2306</v>
      </c>
      <c r="T533" s="1"/>
    </row>
    <row r="534" spans="1:20">
      <c r="A534">
        <v>3</v>
      </c>
      <c r="B534">
        <v>171515</v>
      </c>
      <c r="C534" t="s">
        <v>10</v>
      </c>
      <c r="D534" s="2">
        <v>1227</v>
      </c>
      <c r="E534" s="1">
        <v>44105</v>
      </c>
      <c r="F534">
        <v>1</v>
      </c>
      <c r="G534">
        <v>10</v>
      </c>
      <c r="H534">
        <v>2020</v>
      </c>
      <c r="I534" s="5">
        <f>(Table32[[#This Row],[Revenue]]/Table32[[#This Row],[Units Sold]])</f>
        <v>5</v>
      </c>
      <c r="J534" s="5">
        <f>Table32[[#This Row],[revenue/unit]]-Table32[[#This Row],[Cost/unit]]</f>
        <v>3</v>
      </c>
      <c r="K534">
        <f>Table32[[#This Row],[Revenue]]-Table32[[#This Row],[Cost]]</f>
        <v>3681</v>
      </c>
      <c r="L534" s="6">
        <f>Table32[[#This Row],[Net Profit]]/Table32[[#This Row],[Cost]]</f>
        <v>1.5</v>
      </c>
      <c r="M534">
        <v>6135</v>
      </c>
      <c r="N534" s="7">
        <f>Table32[[#This Row],[Cost]]/Table32[[#This Row],[Units Sold]]</f>
        <v>2</v>
      </c>
      <c r="O534">
        <v>2454</v>
      </c>
      <c r="T534" s="1"/>
    </row>
    <row r="535" spans="1:20">
      <c r="A535">
        <v>2</v>
      </c>
      <c r="B535">
        <v>336267</v>
      </c>
      <c r="C535" t="s">
        <v>10</v>
      </c>
      <c r="D535" s="2">
        <v>360</v>
      </c>
      <c r="E535" s="1">
        <v>44105</v>
      </c>
      <c r="F535">
        <v>1</v>
      </c>
      <c r="G535">
        <v>10</v>
      </c>
      <c r="H535">
        <v>2020</v>
      </c>
      <c r="I535" s="5">
        <f>(Table32[[#This Row],[Revenue]]/Table32[[#This Row],[Units Sold]])</f>
        <v>5</v>
      </c>
      <c r="J535" s="5">
        <f>Table32[[#This Row],[revenue/unit]]-Table32[[#This Row],[Cost/unit]]</f>
        <v>3</v>
      </c>
      <c r="K535">
        <f>Table32[[#This Row],[Revenue]]-Table32[[#This Row],[Cost]]</f>
        <v>1080</v>
      </c>
      <c r="L535" s="6">
        <f>Table32[[#This Row],[Net Profit]]/Table32[[#This Row],[Cost]]</f>
        <v>1.5</v>
      </c>
      <c r="M535">
        <v>1800</v>
      </c>
      <c r="N535" s="7">
        <f>Table32[[#This Row],[Cost]]/Table32[[#This Row],[Units Sold]]</f>
        <v>2</v>
      </c>
      <c r="O535">
        <v>720</v>
      </c>
      <c r="T535" s="1"/>
    </row>
    <row r="536" spans="1:20">
      <c r="A536">
        <v>3</v>
      </c>
      <c r="B536">
        <v>565251</v>
      </c>
      <c r="C536" t="s">
        <v>10</v>
      </c>
      <c r="D536" s="2">
        <v>241</v>
      </c>
      <c r="E536" s="1">
        <v>44105</v>
      </c>
      <c r="F536">
        <v>1</v>
      </c>
      <c r="G536">
        <v>10</v>
      </c>
      <c r="H536">
        <v>2020</v>
      </c>
      <c r="I536" s="5">
        <f>(Table32[[#This Row],[Revenue]]/Table32[[#This Row],[Units Sold]])</f>
        <v>5</v>
      </c>
      <c r="J536" s="5">
        <f>Table32[[#This Row],[revenue/unit]]-Table32[[#This Row],[Cost/unit]]</f>
        <v>3</v>
      </c>
      <c r="K536">
        <f>Table32[[#This Row],[Revenue]]-Table32[[#This Row],[Cost]]</f>
        <v>723</v>
      </c>
      <c r="L536" s="6">
        <f>Table32[[#This Row],[Net Profit]]/Table32[[#This Row],[Cost]]</f>
        <v>1.5</v>
      </c>
      <c r="M536">
        <v>1205</v>
      </c>
      <c r="N536" s="7">
        <f>Table32[[#This Row],[Cost]]/Table32[[#This Row],[Units Sold]]</f>
        <v>2</v>
      </c>
      <c r="O536">
        <v>482</v>
      </c>
      <c r="T536" s="1"/>
    </row>
    <row r="537" spans="1:20">
      <c r="A537">
        <v>3</v>
      </c>
      <c r="B537">
        <v>120842</v>
      </c>
      <c r="C537" t="s">
        <v>10</v>
      </c>
      <c r="D537" s="2">
        <v>2441</v>
      </c>
      <c r="E537" s="1">
        <v>44105</v>
      </c>
      <c r="F537">
        <v>1</v>
      </c>
      <c r="G537">
        <v>10</v>
      </c>
      <c r="H537">
        <v>2020</v>
      </c>
      <c r="I537" s="5">
        <f>(Table32[[#This Row],[Revenue]]/Table32[[#This Row],[Units Sold]])</f>
        <v>5</v>
      </c>
      <c r="J537" s="5">
        <f>Table32[[#This Row],[revenue/unit]]-Table32[[#This Row],[Cost/unit]]</f>
        <v>3</v>
      </c>
      <c r="K537">
        <f>Table32[[#This Row],[Revenue]]-Table32[[#This Row],[Cost]]</f>
        <v>7323</v>
      </c>
      <c r="L537" s="6">
        <f>Table32[[#This Row],[Net Profit]]/Table32[[#This Row],[Cost]]</f>
        <v>1.5</v>
      </c>
      <c r="M537">
        <v>12205</v>
      </c>
      <c r="N537" s="7">
        <f>Table32[[#This Row],[Cost]]/Table32[[#This Row],[Units Sold]]</f>
        <v>2</v>
      </c>
      <c r="O537">
        <v>4882</v>
      </c>
      <c r="T537" s="1"/>
    </row>
    <row r="538" spans="1:20">
      <c r="A538">
        <v>5</v>
      </c>
      <c r="B538">
        <v>714255</v>
      </c>
      <c r="C538" t="s">
        <v>10</v>
      </c>
      <c r="D538" s="2">
        <v>2156</v>
      </c>
      <c r="E538" s="1">
        <v>44105</v>
      </c>
      <c r="F538">
        <v>1</v>
      </c>
      <c r="G538">
        <v>10</v>
      </c>
      <c r="H538">
        <v>2020</v>
      </c>
      <c r="I538" s="5">
        <f>(Table32[[#This Row],[Revenue]]/Table32[[#This Row],[Units Sold]])</f>
        <v>5</v>
      </c>
      <c r="J538" s="5">
        <f>Table32[[#This Row],[revenue/unit]]-Table32[[#This Row],[Cost/unit]]</f>
        <v>3</v>
      </c>
      <c r="K538">
        <f>Table32[[#This Row],[Revenue]]-Table32[[#This Row],[Cost]]</f>
        <v>6468</v>
      </c>
      <c r="L538" s="6">
        <f>Table32[[#This Row],[Net Profit]]/Table32[[#This Row],[Cost]]</f>
        <v>1.5</v>
      </c>
      <c r="M538">
        <v>10780</v>
      </c>
      <c r="N538" s="7">
        <f>Table32[[#This Row],[Cost]]/Table32[[#This Row],[Units Sold]]</f>
        <v>2</v>
      </c>
      <c r="O538">
        <v>4312</v>
      </c>
      <c r="T538" s="1"/>
    </row>
    <row r="539" spans="1:20">
      <c r="A539">
        <v>3</v>
      </c>
      <c r="B539">
        <v>170514</v>
      </c>
      <c r="C539" t="s">
        <v>10</v>
      </c>
      <c r="D539" s="2">
        <v>905</v>
      </c>
      <c r="E539" s="1">
        <v>44105</v>
      </c>
      <c r="F539">
        <v>1</v>
      </c>
      <c r="G539">
        <v>10</v>
      </c>
      <c r="H539">
        <v>2020</v>
      </c>
      <c r="I539" s="5">
        <f>(Table32[[#This Row],[Revenue]]/Table32[[#This Row],[Units Sold]])</f>
        <v>5</v>
      </c>
      <c r="J539" s="5">
        <f>Table32[[#This Row],[revenue/unit]]-Table32[[#This Row],[Cost/unit]]</f>
        <v>3</v>
      </c>
      <c r="K539">
        <f>Table32[[#This Row],[Revenue]]-Table32[[#This Row],[Cost]]</f>
        <v>2715</v>
      </c>
      <c r="L539" s="6">
        <f>Table32[[#This Row],[Net Profit]]/Table32[[#This Row],[Cost]]</f>
        <v>1.5</v>
      </c>
      <c r="M539">
        <v>4525</v>
      </c>
      <c r="N539" s="7">
        <f>Table32[[#This Row],[Cost]]/Table32[[#This Row],[Units Sold]]</f>
        <v>2</v>
      </c>
      <c r="O539">
        <v>1810</v>
      </c>
      <c r="T539" s="1"/>
    </row>
    <row r="540" spans="1:20">
      <c r="A540">
        <v>5</v>
      </c>
      <c r="B540">
        <v>626543</v>
      </c>
      <c r="C540" t="s">
        <v>10</v>
      </c>
      <c r="D540" s="2">
        <v>1565</v>
      </c>
      <c r="E540" s="1">
        <v>44105</v>
      </c>
      <c r="F540">
        <v>1</v>
      </c>
      <c r="G540">
        <v>10</v>
      </c>
      <c r="H540">
        <v>2020</v>
      </c>
      <c r="I540" s="5">
        <f>(Table32[[#This Row],[Revenue]]/Table32[[#This Row],[Units Sold]])</f>
        <v>5</v>
      </c>
      <c r="J540" s="5">
        <f>Table32[[#This Row],[revenue/unit]]-Table32[[#This Row],[Cost/unit]]</f>
        <v>3</v>
      </c>
      <c r="K540">
        <f>Table32[[#This Row],[Revenue]]-Table32[[#This Row],[Cost]]</f>
        <v>4695</v>
      </c>
      <c r="L540" s="6">
        <f>Table32[[#This Row],[Net Profit]]/Table32[[#This Row],[Cost]]</f>
        <v>1.5</v>
      </c>
      <c r="M540">
        <v>7825</v>
      </c>
      <c r="N540" s="7">
        <f>Table32[[#This Row],[Cost]]/Table32[[#This Row],[Units Sold]]</f>
        <v>2</v>
      </c>
      <c r="O540">
        <v>3130</v>
      </c>
      <c r="T540" s="1"/>
    </row>
    <row r="541" spans="1:20">
      <c r="A541">
        <v>3</v>
      </c>
      <c r="B541">
        <v>374010</v>
      </c>
      <c r="C541" t="s">
        <v>10</v>
      </c>
      <c r="D541" s="2">
        <v>1249</v>
      </c>
      <c r="E541" s="1">
        <v>44105</v>
      </c>
      <c r="F541">
        <v>1</v>
      </c>
      <c r="G541">
        <v>10</v>
      </c>
      <c r="H541">
        <v>2020</v>
      </c>
      <c r="I541" s="5">
        <f>(Table32[[#This Row],[Revenue]]/Table32[[#This Row],[Units Sold]])</f>
        <v>5</v>
      </c>
      <c r="J541" s="5">
        <f>Table32[[#This Row],[revenue/unit]]-Table32[[#This Row],[Cost/unit]]</f>
        <v>3</v>
      </c>
      <c r="K541">
        <f>Table32[[#This Row],[Revenue]]-Table32[[#This Row],[Cost]]</f>
        <v>3747</v>
      </c>
      <c r="L541" s="6">
        <f>Table32[[#This Row],[Net Profit]]/Table32[[#This Row],[Cost]]</f>
        <v>1.5</v>
      </c>
      <c r="M541">
        <v>6245</v>
      </c>
      <c r="N541" s="7">
        <f>Table32[[#This Row],[Cost]]/Table32[[#This Row],[Units Sold]]</f>
        <v>2</v>
      </c>
      <c r="O541">
        <v>2498</v>
      </c>
      <c r="T541" s="1"/>
    </row>
    <row r="542" spans="1:20">
      <c r="A542">
        <v>2</v>
      </c>
      <c r="B542">
        <v>158597</v>
      </c>
      <c r="C542" t="s">
        <v>10</v>
      </c>
      <c r="D542" s="2">
        <v>1393</v>
      </c>
      <c r="E542" s="1">
        <v>44105</v>
      </c>
      <c r="F542">
        <v>1</v>
      </c>
      <c r="G542">
        <v>10</v>
      </c>
      <c r="H542">
        <v>2020</v>
      </c>
      <c r="I542" s="5">
        <f>(Table32[[#This Row],[Revenue]]/Table32[[#This Row],[Units Sold]])</f>
        <v>5</v>
      </c>
      <c r="J542" s="5">
        <f>Table32[[#This Row],[revenue/unit]]-Table32[[#This Row],[Cost/unit]]</f>
        <v>3</v>
      </c>
      <c r="K542">
        <f>Table32[[#This Row],[Revenue]]-Table32[[#This Row],[Cost]]</f>
        <v>4179</v>
      </c>
      <c r="L542" s="6">
        <f>Table32[[#This Row],[Net Profit]]/Table32[[#This Row],[Cost]]</f>
        <v>1.5</v>
      </c>
      <c r="M542">
        <v>6965</v>
      </c>
      <c r="N542" s="7">
        <f>Table32[[#This Row],[Cost]]/Table32[[#This Row],[Units Sold]]</f>
        <v>2</v>
      </c>
      <c r="O542">
        <v>2786</v>
      </c>
      <c r="T542" s="1"/>
    </row>
    <row r="543" spans="1:20">
      <c r="A543">
        <v>3</v>
      </c>
      <c r="B543">
        <v>898886</v>
      </c>
      <c r="C543" t="s">
        <v>10</v>
      </c>
      <c r="D543" s="2">
        <v>2914</v>
      </c>
      <c r="E543" s="1">
        <v>44105</v>
      </c>
      <c r="F543">
        <v>1</v>
      </c>
      <c r="G543">
        <v>10</v>
      </c>
      <c r="H543">
        <v>2020</v>
      </c>
      <c r="I543" s="5">
        <f>(Table32[[#This Row],[Revenue]]/Table32[[#This Row],[Units Sold]])</f>
        <v>5</v>
      </c>
      <c r="J543" s="5">
        <f>Table32[[#This Row],[revenue/unit]]-Table32[[#This Row],[Cost/unit]]</f>
        <v>3</v>
      </c>
      <c r="K543">
        <f>Table32[[#This Row],[Revenue]]-Table32[[#This Row],[Cost]]</f>
        <v>8742</v>
      </c>
      <c r="L543" s="6">
        <f>Table32[[#This Row],[Net Profit]]/Table32[[#This Row],[Cost]]</f>
        <v>1.5</v>
      </c>
      <c r="M543">
        <v>14570</v>
      </c>
      <c r="N543" s="7">
        <f>Table32[[#This Row],[Cost]]/Table32[[#This Row],[Units Sold]]</f>
        <v>2</v>
      </c>
      <c r="O543">
        <v>5828</v>
      </c>
      <c r="T543" s="1"/>
    </row>
    <row r="544" spans="1:20">
      <c r="A544">
        <v>2</v>
      </c>
      <c r="B544">
        <v>429735</v>
      </c>
      <c r="C544" t="s">
        <v>10</v>
      </c>
      <c r="D544" s="2">
        <v>1731</v>
      </c>
      <c r="E544" s="1">
        <v>44105</v>
      </c>
      <c r="F544">
        <v>1</v>
      </c>
      <c r="G544">
        <v>10</v>
      </c>
      <c r="H544">
        <v>2020</v>
      </c>
      <c r="I544" s="5">
        <f>(Table32[[#This Row],[Revenue]]/Table32[[#This Row],[Units Sold]])</f>
        <v>5</v>
      </c>
      <c r="J544" s="5">
        <f>Table32[[#This Row],[revenue/unit]]-Table32[[#This Row],[Cost/unit]]</f>
        <v>3</v>
      </c>
      <c r="K544">
        <f>Table32[[#This Row],[Revenue]]-Table32[[#This Row],[Cost]]</f>
        <v>5193</v>
      </c>
      <c r="L544" s="6">
        <f>Table32[[#This Row],[Net Profit]]/Table32[[#This Row],[Cost]]</f>
        <v>1.5</v>
      </c>
      <c r="M544">
        <v>8655</v>
      </c>
      <c r="N544" s="7">
        <f>Table32[[#This Row],[Cost]]/Table32[[#This Row],[Units Sold]]</f>
        <v>2</v>
      </c>
      <c r="O544">
        <v>3462</v>
      </c>
      <c r="T544" s="1"/>
    </row>
    <row r="545" spans="1:20">
      <c r="A545">
        <v>2</v>
      </c>
      <c r="B545">
        <v>332447</v>
      </c>
      <c r="C545" t="s">
        <v>10</v>
      </c>
      <c r="D545" s="2">
        <v>1085</v>
      </c>
      <c r="E545" s="1">
        <v>44105</v>
      </c>
      <c r="F545">
        <v>1</v>
      </c>
      <c r="G545">
        <v>10</v>
      </c>
      <c r="H545">
        <v>2020</v>
      </c>
      <c r="I545" s="5">
        <f>(Table32[[#This Row],[Revenue]]/Table32[[#This Row],[Units Sold]])</f>
        <v>5</v>
      </c>
      <c r="J545" s="5">
        <f>Table32[[#This Row],[revenue/unit]]-Table32[[#This Row],[Cost/unit]]</f>
        <v>3</v>
      </c>
      <c r="K545">
        <f>Table32[[#This Row],[Revenue]]-Table32[[#This Row],[Cost]]</f>
        <v>3255</v>
      </c>
      <c r="L545" s="6">
        <f>Table32[[#This Row],[Net Profit]]/Table32[[#This Row],[Cost]]</f>
        <v>1.5</v>
      </c>
      <c r="M545">
        <v>5425</v>
      </c>
      <c r="N545" s="7">
        <f>Table32[[#This Row],[Cost]]/Table32[[#This Row],[Units Sold]]</f>
        <v>2</v>
      </c>
      <c r="O545">
        <v>2170</v>
      </c>
      <c r="T545" s="1"/>
    </row>
    <row r="546" spans="1:20">
      <c r="A546">
        <v>2</v>
      </c>
      <c r="B546">
        <v>837170</v>
      </c>
      <c r="C546" t="s">
        <v>10</v>
      </c>
      <c r="D546" s="2">
        <v>1175</v>
      </c>
      <c r="E546" s="1">
        <v>44105</v>
      </c>
      <c r="F546">
        <v>1</v>
      </c>
      <c r="G546">
        <v>10</v>
      </c>
      <c r="H546">
        <v>2020</v>
      </c>
      <c r="I546" s="5">
        <f>(Table32[[#This Row],[Revenue]]/Table32[[#This Row],[Units Sold]])</f>
        <v>5</v>
      </c>
      <c r="J546" s="5">
        <f>Table32[[#This Row],[revenue/unit]]-Table32[[#This Row],[Cost/unit]]</f>
        <v>3</v>
      </c>
      <c r="K546">
        <f>Table32[[#This Row],[Revenue]]-Table32[[#This Row],[Cost]]</f>
        <v>3525</v>
      </c>
      <c r="L546" s="6">
        <f>Table32[[#This Row],[Net Profit]]/Table32[[#This Row],[Cost]]</f>
        <v>1.5</v>
      </c>
      <c r="M546">
        <v>5875</v>
      </c>
      <c r="N546" s="7">
        <f>Table32[[#This Row],[Cost]]/Table32[[#This Row],[Units Sold]]</f>
        <v>2</v>
      </c>
      <c r="O546">
        <v>2350</v>
      </c>
      <c r="T546" s="1"/>
    </row>
    <row r="547" spans="1:20">
      <c r="A547">
        <v>1</v>
      </c>
      <c r="B547">
        <v>326089</v>
      </c>
      <c r="C547" t="s">
        <v>11</v>
      </c>
      <c r="D547" s="2">
        <v>1566</v>
      </c>
      <c r="E547" s="1">
        <v>44105</v>
      </c>
      <c r="F547">
        <v>1</v>
      </c>
      <c r="G547">
        <v>10</v>
      </c>
      <c r="H547">
        <v>2020</v>
      </c>
      <c r="I547" s="5">
        <f>(Table32[[#This Row],[Revenue]]/Table32[[#This Row],[Units Sold]])</f>
        <v>1</v>
      </c>
      <c r="J547" s="5">
        <f>Table32[[#This Row],[revenue/unit]]-Table32[[#This Row],[Cost/unit]]</f>
        <v>0.5</v>
      </c>
      <c r="K547">
        <f>Table32[[#This Row],[Revenue]]-Table32[[#This Row],[Cost]]</f>
        <v>783</v>
      </c>
      <c r="L547" s="6">
        <f>Table32[[#This Row],[Net Profit]]/Table32[[#This Row],[Cost]]</f>
        <v>1</v>
      </c>
      <c r="M547">
        <v>1566</v>
      </c>
      <c r="N547" s="7">
        <f>Table32[[#This Row],[Cost]]/Table32[[#This Row],[Units Sold]]</f>
        <v>0.5</v>
      </c>
      <c r="O547">
        <v>783</v>
      </c>
      <c r="T547" s="1"/>
    </row>
    <row r="548" spans="1:20">
      <c r="A548">
        <v>1</v>
      </c>
      <c r="B548">
        <v>801641</v>
      </c>
      <c r="C548" t="s">
        <v>11</v>
      </c>
      <c r="D548" s="2">
        <v>2031</v>
      </c>
      <c r="E548" s="1">
        <v>44105</v>
      </c>
      <c r="F548">
        <v>1</v>
      </c>
      <c r="G548">
        <v>10</v>
      </c>
      <c r="H548">
        <v>2020</v>
      </c>
      <c r="I548" s="5">
        <f>(Table32[[#This Row],[Revenue]]/Table32[[#This Row],[Units Sold]])</f>
        <v>1</v>
      </c>
      <c r="J548" s="5">
        <f>Table32[[#This Row],[revenue/unit]]-Table32[[#This Row],[Cost/unit]]</f>
        <v>0.5</v>
      </c>
      <c r="K548">
        <f>Table32[[#This Row],[Revenue]]-Table32[[#This Row],[Cost]]</f>
        <v>1015.5</v>
      </c>
      <c r="L548" s="6">
        <f>Table32[[#This Row],[Net Profit]]/Table32[[#This Row],[Cost]]</f>
        <v>1</v>
      </c>
      <c r="M548">
        <v>2031</v>
      </c>
      <c r="N548" s="7">
        <f>Table32[[#This Row],[Cost]]/Table32[[#This Row],[Units Sold]]</f>
        <v>0.5</v>
      </c>
      <c r="O548">
        <v>1015.5</v>
      </c>
      <c r="T548" s="1"/>
    </row>
    <row r="549" spans="1:20">
      <c r="A549">
        <v>4</v>
      </c>
      <c r="B549">
        <v>574744</v>
      </c>
      <c r="C549" t="s">
        <v>11</v>
      </c>
      <c r="D549" s="2">
        <v>2021</v>
      </c>
      <c r="E549" s="1">
        <v>44105</v>
      </c>
      <c r="F549">
        <v>1</v>
      </c>
      <c r="G549">
        <v>10</v>
      </c>
      <c r="H549">
        <v>2020</v>
      </c>
      <c r="I549" s="5">
        <f>(Table32[[#This Row],[Revenue]]/Table32[[#This Row],[Units Sold]])</f>
        <v>1</v>
      </c>
      <c r="J549" s="5">
        <f>Table32[[#This Row],[revenue/unit]]-Table32[[#This Row],[Cost/unit]]</f>
        <v>0.5</v>
      </c>
      <c r="K549">
        <f>Table32[[#This Row],[Revenue]]-Table32[[#This Row],[Cost]]</f>
        <v>1010.5</v>
      </c>
      <c r="L549" s="6">
        <f>Table32[[#This Row],[Net Profit]]/Table32[[#This Row],[Cost]]</f>
        <v>1</v>
      </c>
      <c r="M549">
        <v>2021</v>
      </c>
      <c r="N549" s="7">
        <f>Table32[[#This Row],[Cost]]/Table32[[#This Row],[Units Sold]]</f>
        <v>0.5</v>
      </c>
      <c r="O549">
        <v>1010.5</v>
      </c>
      <c r="T549" s="1"/>
    </row>
    <row r="550" spans="1:20">
      <c r="A550">
        <v>4</v>
      </c>
      <c r="B550">
        <v>757336</v>
      </c>
      <c r="C550" t="s">
        <v>11</v>
      </c>
      <c r="D550" s="2">
        <v>1976</v>
      </c>
      <c r="E550" s="1">
        <v>44105</v>
      </c>
      <c r="F550">
        <v>1</v>
      </c>
      <c r="G550">
        <v>10</v>
      </c>
      <c r="H550">
        <v>2020</v>
      </c>
      <c r="I550" s="5">
        <f>(Table32[[#This Row],[Revenue]]/Table32[[#This Row],[Units Sold]])</f>
        <v>1</v>
      </c>
      <c r="J550" s="5">
        <f>Table32[[#This Row],[revenue/unit]]-Table32[[#This Row],[Cost/unit]]</f>
        <v>0.5</v>
      </c>
      <c r="K550">
        <f>Table32[[#This Row],[Revenue]]-Table32[[#This Row],[Cost]]</f>
        <v>988</v>
      </c>
      <c r="L550" s="6">
        <f>Table32[[#This Row],[Net Profit]]/Table32[[#This Row],[Cost]]</f>
        <v>1</v>
      </c>
      <c r="M550">
        <v>1976</v>
      </c>
      <c r="N550" s="7">
        <f>Table32[[#This Row],[Cost]]/Table32[[#This Row],[Units Sold]]</f>
        <v>0.5</v>
      </c>
      <c r="O550">
        <v>988</v>
      </c>
      <c r="T550" s="1"/>
    </row>
    <row r="551" spans="1:20">
      <c r="A551">
        <v>1</v>
      </c>
      <c r="B551">
        <v>444955</v>
      </c>
      <c r="C551" t="s">
        <v>11</v>
      </c>
      <c r="D551" s="2">
        <v>2181</v>
      </c>
      <c r="E551" s="1">
        <v>44105</v>
      </c>
      <c r="F551">
        <v>1</v>
      </c>
      <c r="G551">
        <v>10</v>
      </c>
      <c r="H551">
        <v>2020</v>
      </c>
      <c r="I551" s="5">
        <f>(Table32[[#This Row],[Revenue]]/Table32[[#This Row],[Units Sold]])</f>
        <v>1</v>
      </c>
      <c r="J551" s="5">
        <f>Table32[[#This Row],[revenue/unit]]-Table32[[#This Row],[Cost/unit]]</f>
        <v>0.5</v>
      </c>
      <c r="K551">
        <f>Table32[[#This Row],[Revenue]]-Table32[[#This Row],[Cost]]</f>
        <v>1090.5</v>
      </c>
      <c r="L551" s="6">
        <f>Table32[[#This Row],[Net Profit]]/Table32[[#This Row],[Cost]]</f>
        <v>1</v>
      </c>
      <c r="M551">
        <v>2181</v>
      </c>
      <c r="N551" s="7">
        <f>Table32[[#This Row],[Cost]]/Table32[[#This Row],[Units Sold]]</f>
        <v>0.5</v>
      </c>
      <c r="O551">
        <v>1090.5</v>
      </c>
      <c r="T551" s="1"/>
    </row>
    <row r="552" spans="1:20">
      <c r="A552">
        <v>2</v>
      </c>
      <c r="B552">
        <v>533611</v>
      </c>
      <c r="C552" t="s">
        <v>11</v>
      </c>
      <c r="D552" s="2">
        <v>2734</v>
      </c>
      <c r="E552" s="1">
        <v>44105</v>
      </c>
      <c r="F552">
        <v>1</v>
      </c>
      <c r="G552">
        <v>10</v>
      </c>
      <c r="H552">
        <v>2020</v>
      </c>
      <c r="I552" s="5">
        <f>(Table32[[#This Row],[Revenue]]/Table32[[#This Row],[Units Sold]])</f>
        <v>1</v>
      </c>
      <c r="J552" s="5">
        <f>Table32[[#This Row],[revenue/unit]]-Table32[[#This Row],[Cost/unit]]</f>
        <v>0.5</v>
      </c>
      <c r="K552">
        <f>Table32[[#This Row],[Revenue]]-Table32[[#This Row],[Cost]]</f>
        <v>1367</v>
      </c>
      <c r="L552" s="6">
        <f>Table32[[#This Row],[Net Profit]]/Table32[[#This Row],[Cost]]</f>
        <v>1</v>
      </c>
      <c r="M552">
        <v>2734</v>
      </c>
      <c r="N552" s="7">
        <f>Table32[[#This Row],[Cost]]/Table32[[#This Row],[Units Sold]]</f>
        <v>0.5</v>
      </c>
      <c r="O552">
        <v>1367</v>
      </c>
      <c r="T552" s="1"/>
    </row>
    <row r="553" spans="1:20">
      <c r="A553">
        <v>3</v>
      </c>
      <c r="B553">
        <v>505218</v>
      </c>
      <c r="C553" t="s">
        <v>11</v>
      </c>
      <c r="D553" s="2">
        <v>1249</v>
      </c>
      <c r="E553" s="1">
        <v>44105</v>
      </c>
      <c r="F553">
        <v>1</v>
      </c>
      <c r="G553">
        <v>10</v>
      </c>
      <c r="H553">
        <v>2020</v>
      </c>
      <c r="I553" s="5">
        <f>(Table32[[#This Row],[Revenue]]/Table32[[#This Row],[Units Sold]])</f>
        <v>1</v>
      </c>
      <c r="J553" s="5">
        <f>Table32[[#This Row],[revenue/unit]]-Table32[[#This Row],[Cost/unit]]</f>
        <v>0.5</v>
      </c>
      <c r="K553">
        <f>Table32[[#This Row],[Revenue]]-Table32[[#This Row],[Cost]]</f>
        <v>624.5</v>
      </c>
      <c r="L553" s="6">
        <f>Table32[[#This Row],[Net Profit]]/Table32[[#This Row],[Cost]]</f>
        <v>1</v>
      </c>
      <c r="M553">
        <v>1249</v>
      </c>
      <c r="N553" s="7">
        <f>Table32[[#This Row],[Cost]]/Table32[[#This Row],[Units Sold]]</f>
        <v>0.5</v>
      </c>
      <c r="O553">
        <v>624.5</v>
      </c>
      <c r="T553" s="1"/>
    </row>
    <row r="554" spans="1:20">
      <c r="A554">
        <v>2</v>
      </c>
      <c r="B554">
        <v>894001</v>
      </c>
      <c r="C554" t="s">
        <v>11</v>
      </c>
      <c r="D554" s="2">
        <v>546</v>
      </c>
      <c r="E554" s="1">
        <v>44105</v>
      </c>
      <c r="F554">
        <v>1</v>
      </c>
      <c r="G554">
        <v>10</v>
      </c>
      <c r="H554">
        <v>2020</v>
      </c>
      <c r="I554" s="5">
        <f>(Table32[[#This Row],[Revenue]]/Table32[[#This Row],[Units Sold]])</f>
        <v>1</v>
      </c>
      <c r="J554" s="5">
        <f>Table32[[#This Row],[revenue/unit]]-Table32[[#This Row],[Cost/unit]]</f>
        <v>0.5</v>
      </c>
      <c r="K554">
        <f>Table32[[#This Row],[Revenue]]-Table32[[#This Row],[Cost]]</f>
        <v>273</v>
      </c>
      <c r="L554" s="6">
        <f>Table32[[#This Row],[Net Profit]]/Table32[[#This Row],[Cost]]</f>
        <v>1</v>
      </c>
      <c r="M554">
        <v>546</v>
      </c>
      <c r="N554" s="7">
        <f>Table32[[#This Row],[Cost]]/Table32[[#This Row],[Units Sold]]</f>
        <v>0.5</v>
      </c>
      <c r="O554">
        <v>273</v>
      </c>
      <c r="T554" s="1"/>
    </row>
    <row r="555" spans="1:20">
      <c r="A555">
        <v>3</v>
      </c>
      <c r="B555">
        <v>170867</v>
      </c>
      <c r="C555" t="s">
        <v>12</v>
      </c>
      <c r="D555" s="2">
        <v>1143</v>
      </c>
      <c r="E555" s="1">
        <v>44105</v>
      </c>
      <c r="F555">
        <v>1</v>
      </c>
      <c r="G555">
        <v>10</v>
      </c>
      <c r="H555">
        <v>2020</v>
      </c>
      <c r="I555" s="5">
        <f>(Table32[[#This Row],[Revenue]]/Table32[[#This Row],[Units Sold]])</f>
        <v>5</v>
      </c>
      <c r="J555" s="5">
        <f>Table32[[#This Row],[revenue/unit]]-Table32[[#This Row],[Cost/unit]]</f>
        <v>2.8</v>
      </c>
      <c r="K555">
        <f>Table32[[#This Row],[Revenue]]-Table32[[#This Row],[Cost]]</f>
        <v>3200.3999999999996</v>
      </c>
      <c r="L555" s="6">
        <f>Table32[[#This Row],[Net Profit]]/Table32[[#This Row],[Cost]]</f>
        <v>1.2727272727272725</v>
      </c>
      <c r="M555">
        <v>5715</v>
      </c>
      <c r="N555" s="7">
        <f>Table32[[#This Row],[Cost]]/Table32[[#This Row],[Units Sold]]</f>
        <v>2.2000000000000002</v>
      </c>
      <c r="O555">
        <v>2514.6000000000004</v>
      </c>
      <c r="T555" s="1"/>
    </row>
    <row r="556" spans="1:20">
      <c r="A556">
        <v>4</v>
      </c>
      <c r="B556">
        <v>131700</v>
      </c>
      <c r="C556" t="s">
        <v>12</v>
      </c>
      <c r="D556" s="2">
        <v>1269</v>
      </c>
      <c r="E556" s="1">
        <v>44105</v>
      </c>
      <c r="F556">
        <v>1</v>
      </c>
      <c r="G556">
        <v>10</v>
      </c>
      <c r="H556">
        <v>2020</v>
      </c>
      <c r="I556" s="5">
        <f>(Table32[[#This Row],[Revenue]]/Table32[[#This Row],[Units Sold]])</f>
        <v>5</v>
      </c>
      <c r="J556" s="5">
        <f>Table32[[#This Row],[revenue/unit]]-Table32[[#This Row],[Cost/unit]]</f>
        <v>2.8</v>
      </c>
      <c r="K556">
        <f>Table32[[#This Row],[Revenue]]-Table32[[#This Row],[Cost]]</f>
        <v>3553.2</v>
      </c>
      <c r="L556" s="6">
        <f>Table32[[#This Row],[Net Profit]]/Table32[[#This Row],[Cost]]</f>
        <v>1.2727272727272725</v>
      </c>
      <c r="M556">
        <v>6345</v>
      </c>
      <c r="N556" s="7">
        <f>Table32[[#This Row],[Cost]]/Table32[[#This Row],[Units Sold]]</f>
        <v>2.2000000000000002</v>
      </c>
      <c r="O556">
        <v>2791.8</v>
      </c>
      <c r="T556" s="1"/>
    </row>
    <row r="557" spans="1:20">
      <c r="A557">
        <v>4</v>
      </c>
      <c r="B557">
        <v>323754</v>
      </c>
      <c r="C557" t="s">
        <v>12</v>
      </c>
      <c r="D557" s="2">
        <v>472</v>
      </c>
      <c r="E557" s="1">
        <v>44105</v>
      </c>
      <c r="F557">
        <v>1</v>
      </c>
      <c r="G557">
        <v>10</v>
      </c>
      <c r="H557">
        <v>2020</v>
      </c>
      <c r="I557" s="5">
        <f>(Table32[[#This Row],[Revenue]]/Table32[[#This Row],[Units Sold]])</f>
        <v>5</v>
      </c>
      <c r="J557" s="5">
        <f>Table32[[#This Row],[revenue/unit]]-Table32[[#This Row],[Cost/unit]]</f>
        <v>2.8</v>
      </c>
      <c r="K557">
        <f>Table32[[#This Row],[Revenue]]-Table32[[#This Row],[Cost]]</f>
        <v>1321.6</v>
      </c>
      <c r="L557" s="6">
        <f>Table32[[#This Row],[Net Profit]]/Table32[[#This Row],[Cost]]</f>
        <v>1.2727272727272725</v>
      </c>
      <c r="M557">
        <v>2360</v>
      </c>
      <c r="N557" s="7">
        <f>Table32[[#This Row],[Cost]]/Table32[[#This Row],[Units Sold]]</f>
        <v>2.2000000000000002</v>
      </c>
      <c r="O557">
        <v>1038.4000000000001</v>
      </c>
      <c r="T557" s="1"/>
    </row>
    <row r="558" spans="1:20">
      <c r="A558">
        <v>4</v>
      </c>
      <c r="B558">
        <v>723364</v>
      </c>
      <c r="C558" t="s">
        <v>12</v>
      </c>
      <c r="D558" s="2">
        <v>2734</v>
      </c>
      <c r="E558" s="1">
        <v>44105</v>
      </c>
      <c r="F558">
        <v>1</v>
      </c>
      <c r="G558">
        <v>10</v>
      </c>
      <c r="H558">
        <v>2020</v>
      </c>
      <c r="I558" s="5">
        <f>(Table32[[#This Row],[Revenue]]/Table32[[#This Row],[Units Sold]])</f>
        <v>5</v>
      </c>
      <c r="J558" s="5">
        <f>Table32[[#This Row],[revenue/unit]]-Table32[[#This Row],[Cost/unit]]</f>
        <v>2.8</v>
      </c>
      <c r="K558">
        <f>Table32[[#This Row],[Revenue]]-Table32[[#This Row],[Cost]]</f>
        <v>7655.2</v>
      </c>
      <c r="L558" s="6">
        <f>Table32[[#This Row],[Net Profit]]/Table32[[#This Row],[Cost]]</f>
        <v>1.2727272727272727</v>
      </c>
      <c r="M558">
        <v>13670</v>
      </c>
      <c r="N558" s="7">
        <f>Table32[[#This Row],[Cost]]/Table32[[#This Row],[Units Sold]]</f>
        <v>2.2000000000000002</v>
      </c>
      <c r="O558">
        <v>6014.8</v>
      </c>
      <c r="T558" s="1"/>
    </row>
    <row r="559" spans="1:20">
      <c r="A559">
        <v>1</v>
      </c>
      <c r="B559">
        <v>148871</v>
      </c>
      <c r="C559" t="s">
        <v>12</v>
      </c>
      <c r="D559" s="2">
        <v>410</v>
      </c>
      <c r="E559" s="1">
        <v>44105</v>
      </c>
      <c r="F559">
        <v>1</v>
      </c>
      <c r="G559">
        <v>10</v>
      </c>
      <c r="H559">
        <v>2020</v>
      </c>
      <c r="I559" s="5">
        <f>(Table32[[#This Row],[Revenue]]/Table32[[#This Row],[Units Sold]])</f>
        <v>5</v>
      </c>
      <c r="J559" s="5">
        <f>Table32[[#This Row],[revenue/unit]]-Table32[[#This Row],[Cost/unit]]</f>
        <v>2.8</v>
      </c>
      <c r="K559">
        <f>Table32[[#This Row],[Revenue]]-Table32[[#This Row],[Cost]]</f>
        <v>1148</v>
      </c>
      <c r="L559" s="6">
        <f>Table32[[#This Row],[Net Profit]]/Table32[[#This Row],[Cost]]</f>
        <v>1.2727272727272725</v>
      </c>
      <c r="M559">
        <v>2050</v>
      </c>
      <c r="N559" s="7">
        <f>Table32[[#This Row],[Cost]]/Table32[[#This Row],[Units Sold]]</f>
        <v>2.2000000000000002</v>
      </c>
      <c r="O559">
        <v>902.00000000000011</v>
      </c>
      <c r="T559" s="1"/>
    </row>
    <row r="560" spans="1:20">
      <c r="A560">
        <v>3</v>
      </c>
      <c r="B560">
        <v>540063</v>
      </c>
      <c r="C560" t="s">
        <v>12</v>
      </c>
      <c r="D560" s="2">
        <v>1393</v>
      </c>
      <c r="E560" s="1">
        <v>44105</v>
      </c>
      <c r="F560">
        <v>1</v>
      </c>
      <c r="G560">
        <v>10</v>
      </c>
      <c r="H560">
        <v>2020</v>
      </c>
      <c r="I560" s="5">
        <f>(Table32[[#This Row],[Revenue]]/Table32[[#This Row],[Units Sold]])</f>
        <v>5</v>
      </c>
      <c r="J560" s="5">
        <f>Table32[[#This Row],[revenue/unit]]-Table32[[#This Row],[Cost/unit]]</f>
        <v>2.8</v>
      </c>
      <c r="K560">
        <f>Table32[[#This Row],[Revenue]]-Table32[[#This Row],[Cost]]</f>
        <v>3900.3999999999996</v>
      </c>
      <c r="L560" s="6">
        <f>Table32[[#This Row],[Net Profit]]/Table32[[#This Row],[Cost]]</f>
        <v>1.2727272727272725</v>
      </c>
      <c r="M560">
        <v>6965</v>
      </c>
      <c r="N560" s="7">
        <f>Table32[[#This Row],[Cost]]/Table32[[#This Row],[Units Sold]]</f>
        <v>2.2000000000000002</v>
      </c>
      <c r="O560">
        <v>3064.6000000000004</v>
      </c>
      <c r="T560" s="1"/>
    </row>
    <row r="561" spans="1:20">
      <c r="A561">
        <v>5</v>
      </c>
      <c r="B561">
        <v>841420</v>
      </c>
      <c r="C561" t="s">
        <v>12</v>
      </c>
      <c r="D561" s="2">
        <v>2914</v>
      </c>
      <c r="E561" s="1">
        <v>44105</v>
      </c>
      <c r="F561">
        <v>1</v>
      </c>
      <c r="G561">
        <v>10</v>
      </c>
      <c r="H561">
        <v>2020</v>
      </c>
      <c r="I561" s="5">
        <f>(Table32[[#This Row],[Revenue]]/Table32[[#This Row],[Units Sold]])</f>
        <v>5</v>
      </c>
      <c r="J561" s="5">
        <f>Table32[[#This Row],[revenue/unit]]-Table32[[#This Row],[Cost/unit]]</f>
        <v>2.8</v>
      </c>
      <c r="K561">
        <f>Table32[[#This Row],[Revenue]]-Table32[[#This Row],[Cost]]</f>
        <v>8159.2</v>
      </c>
      <c r="L561" s="6">
        <f>Table32[[#This Row],[Net Profit]]/Table32[[#This Row],[Cost]]</f>
        <v>1.2727272727272727</v>
      </c>
      <c r="M561">
        <v>14570</v>
      </c>
      <c r="N561" s="7">
        <f>Table32[[#This Row],[Cost]]/Table32[[#This Row],[Units Sold]]</f>
        <v>2.2000000000000002</v>
      </c>
      <c r="O561">
        <v>6410.8</v>
      </c>
      <c r="T561" s="1"/>
    </row>
    <row r="562" spans="1:20">
      <c r="A562">
        <v>5</v>
      </c>
      <c r="B562">
        <v>707748</v>
      </c>
      <c r="C562" t="s">
        <v>12</v>
      </c>
      <c r="D562" s="2">
        <v>1731</v>
      </c>
      <c r="E562" s="1">
        <v>44105</v>
      </c>
      <c r="F562">
        <v>1</v>
      </c>
      <c r="G562">
        <v>10</v>
      </c>
      <c r="H562">
        <v>2020</v>
      </c>
      <c r="I562" s="5">
        <f>(Table32[[#This Row],[Revenue]]/Table32[[#This Row],[Units Sold]])</f>
        <v>5</v>
      </c>
      <c r="J562" s="5">
        <f>Table32[[#This Row],[revenue/unit]]-Table32[[#This Row],[Cost/unit]]</f>
        <v>2.8</v>
      </c>
      <c r="K562">
        <f>Table32[[#This Row],[Revenue]]-Table32[[#This Row],[Cost]]</f>
        <v>4846.7999999999993</v>
      </c>
      <c r="L562" s="6">
        <f>Table32[[#This Row],[Net Profit]]/Table32[[#This Row],[Cost]]</f>
        <v>1.2727272727272725</v>
      </c>
      <c r="M562">
        <v>8655</v>
      </c>
      <c r="N562" s="7">
        <f>Table32[[#This Row],[Cost]]/Table32[[#This Row],[Units Sold]]</f>
        <v>2.2000000000000002</v>
      </c>
      <c r="O562">
        <v>3808.2000000000003</v>
      </c>
      <c r="T562" s="1"/>
    </row>
    <row r="563" spans="1:20">
      <c r="A563">
        <v>3</v>
      </c>
      <c r="B563">
        <v>578917</v>
      </c>
      <c r="C563" t="s">
        <v>12</v>
      </c>
      <c r="D563" s="2">
        <v>546</v>
      </c>
      <c r="E563" s="1">
        <v>44105</v>
      </c>
      <c r="F563">
        <v>1</v>
      </c>
      <c r="G563">
        <v>10</v>
      </c>
      <c r="H563">
        <v>2020</v>
      </c>
      <c r="I563" s="5">
        <f>(Table32[[#This Row],[Revenue]]/Table32[[#This Row],[Units Sold]])</f>
        <v>5</v>
      </c>
      <c r="J563" s="5">
        <f>Table32[[#This Row],[revenue/unit]]-Table32[[#This Row],[Cost/unit]]</f>
        <v>2.8</v>
      </c>
      <c r="K563">
        <f>Table32[[#This Row],[Revenue]]-Table32[[#This Row],[Cost]]</f>
        <v>1528.8</v>
      </c>
      <c r="L563" s="6">
        <f>Table32[[#This Row],[Net Profit]]/Table32[[#This Row],[Cost]]</f>
        <v>1.2727272727272727</v>
      </c>
      <c r="M563">
        <v>2730</v>
      </c>
      <c r="N563" s="7">
        <f>Table32[[#This Row],[Cost]]/Table32[[#This Row],[Units Sold]]</f>
        <v>2.2000000000000002</v>
      </c>
      <c r="O563">
        <v>1201.2</v>
      </c>
      <c r="T563" s="1"/>
    </row>
    <row r="564" spans="1:20">
      <c r="A564">
        <v>4</v>
      </c>
      <c r="B564">
        <v>128044</v>
      </c>
      <c r="C564" t="s">
        <v>13</v>
      </c>
      <c r="D564" s="2">
        <v>1397</v>
      </c>
      <c r="E564" s="1">
        <v>44105</v>
      </c>
      <c r="F564">
        <v>1</v>
      </c>
      <c r="G564">
        <v>10</v>
      </c>
      <c r="H564">
        <v>2020</v>
      </c>
      <c r="I564" s="5">
        <f>(Table32[[#This Row],[Revenue]]/Table32[[#This Row],[Units Sold]])</f>
        <v>4</v>
      </c>
      <c r="J564" s="5">
        <f>Table32[[#This Row],[revenue/unit]]-Table32[[#This Row],[Cost/unit]]</f>
        <v>2.5</v>
      </c>
      <c r="K564">
        <f>Table32[[#This Row],[Revenue]]-Table32[[#This Row],[Cost]]</f>
        <v>3492.5</v>
      </c>
      <c r="L564" s="6">
        <f>Table32[[#This Row],[Net Profit]]/Table32[[#This Row],[Cost]]</f>
        <v>1.6666666666666667</v>
      </c>
      <c r="M564">
        <v>5588</v>
      </c>
      <c r="N564" s="7">
        <f>Table32[[#This Row],[Cost]]/Table32[[#This Row],[Units Sold]]</f>
        <v>1.5</v>
      </c>
      <c r="O564">
        <v>2095.5</v>
      </c>
      <c r="T564" s="1"/>
    </row>
    <row r="565" spans="1:20">
      <c r="A565">
        <v>4</v>
      </c>
      <c r="B565">
        <v>601636</v>
      </c>
      <c r="C565" t="s">
        <v>13</v>
      </c>
      <c r="D565" s="2">
        <v>1295</v>
      </c>
      <c r="E565" s="1">
        <v>44105</v>
      </c>
      <c r="F565">
        <v>1</v>
      </c>
      <c r="G565">
        <v>10</v>
      </c>
      <c r="H565">
        <v>2020</v>
      </c>
      <c r="I565" s="5">
        <f>(Table32[[#This Row],[Revenue]]/Table32[[#This Row],[Units Sold]])</f>
        <v>4</v>
      </c>
      <c r="J565" s="5">
        <f>Table32[[#This Row],[revenue/unit]]-Table32[[#This Row],[Cost/unit]]</f>
        <v>2.5</v>
      </c>
      <c r="K565">
        <f>Table32[[#This Row],[Revenue]]-Table32[[#This Row],[Cost]]</f>
        <v>3237.5</v>
      </c>
      <c r="L565" s="6">
        <f>Table32[[#This Row],[Net Profit]]/Table32[[#This Row],[Cost]]</f>
        <v>1.6666666666666667</v>
      </c>
      <c r="M565">
        <v>5180</v>
      </c>
      <c r="N565" s="7">
        <f>Table32[[#This Row],[Cost]]/Table32[[#This Row],[Units Sold]]</f>
        <v>1.5</v>
      </c>
      <c r="O565">
        <v>1942.5</v>
      </c>
      <c r="T565" s="1"/>
    </row>
    <row r="566" spans="1:20">
      <c r="A566">
        <v>4</v>
      </c>
      <c r="B566">
        <v>725869</v>
      </c>
      <c r="C566" t="s">
        <v>13</v>
      </c>
      <c r="D566" s="2">
        <v>2021</v>
      </c>
      <c r="E566" s="1">
        <v>44105</v>
      </c>
      <c r="F566">
        <v>1</v>
      </c>
      <c r="G566">
        <v>10</v>
      </c>
      <c r="H566">
        <v>2020</v>
      </c>
      <c r="I566" s="5">
        <f>(Table32[[#This Row],[Revenue]]/Table32[[#This Row],[Units Sold]])</f>
        <v>4</v>
      </c>
      <c r="J566" s="5">
        <f>Table32[[#This Row],[revenue/unit]]-Table32[[#This Row],[Cost/unit]]</f>
        <v>2.5</v>
      </c>
      <c r="K566">
        <f>Table32[[#This Row],[Revenue]]-Table32[[#This Row],[Cost]]</f>
        <v>5052.5</v>
      </c>
      <c r="L566" s="6">
        <f>Table32[[#This Row],[Net Profit]]/Table32[[#This Row],[Cost]]</f>
        <v>1.6666666666666667</v>
      </c>
      <c r="M566">
        <v>8084</v>
      </c>
      <c r="N566" s="7">
        <f>Table32[[#This Row],[Cost]]/Table32[[#This Row],[Units Sold]]</f>
        <v>1.5</v>
      </c>
      <c r="O566">
        <v>3031.5</v>
      </c>
      <c r="T566" s="1"/>
    </row>
    <row r="567" spans="1:20">
      <c r="A567">
        <v>2</v>
      </c>
      <c r="B567">
        <v>310429</v>
      </c>
      <c r="C567" t="s">
        <v>13</v>
      </c>
      <c r="D567" s="2">
        <v>2181</v>
      </c>
      <c r="E567" s="1">
        <v>44105</v>
      </c>
      <c r="F567">
        <v>1</v>
      </c>
      <c r="G567">
        <v>10</v>
      </c>
      <c r="H567">
        <v>2020</v>
      </c>
      <c r="I567" s="5">
        <f>(Table32[[#This Row],[Revenue]]/Table32[[#This Row],[Units Sold]])</f>
        <v>4</v>
      </c>
      <c r="J567" s="5">
        <f>Table32[[#This Row],[revenue/unit]]-Table32[[#This Row],[Cost/unit]]</f>
        <v>2.5</v>
      </c>
      <c r="K567">
        <f>Table32[[#This Row],[Revenue]]-Table32[[#This Row],[Cost]]</f>
        <v>5452.5</v>
      </c>
      <c r="L567" s="6">
        <f>Table32[[#This Row],[Net Profit]]/Table32[[#This Row],[Cost]]</f>
        <v>1.6666666666666667</v>
      </c>
      <c r="M567">
        <v>8724</v>
      </c>
      <c r="N567" s="7">
        <f>Table32[[#This Row],[Cost]]/Table32[[#This Row],[Units Sold]]</f>
        <v>1.5</v>
      </c>
      <c r="O567">
        <v>3271.5</v>
      </c>
      <c r="T567" s="1"/>
    </row>
    <row r="568" spans="1:20">
      <c r="A568">
        <v>5</v>
      </c>
      <c r="B568">
        <v>363487</v>
      </c>
      <c r="C568" t="s">
        <v>13</v>
      </c>
      <c r="D568" s="2">
        <v>2441</v>
      </c>
      <c r="E568" s="1">
        <v>44105</v>
      </c>
      <c r="F568">
        <v>1</v>
      </c>
      <c r="G568">
        <v>10</v>
      </c>
      <c r="H568">
        <v>2020</v>
      </c>
      <c r="I568" s="5">
        <f>(Table32[[#This Row],[Revenue]]/Table32[[#This Row],[Units Sold]])</f>
        <v>4</v>
      </c>
      <c r="J568" s="5">
        <f>Table32[[#This Row],[revenue/unit]]-Table32[[#This Row],[Cost/unit]]</f>
        <v>2.5</v>
      </c>
      <c r="K568">
        <f>Table32[[#This Row],[Revenue]]-Table32[[#This Row],[Cost]]</f>
        <v>6102.5</v>
      </c>
      <c r="L568" s="6">
        <f>Table32[[#This Row],[Net Profit]]/Table32[[#This Row],[Cost]]</f>
        <v>1.6666666666666667</v>
      </c>
      <c r="M568">
        <v>9764</v>
      </c>
      <c r="N568" s="7">
        <f>Table32[[#This Row],[Cost]]/Table32[[#This Row],[Units Sold]]</f>
        <v>1.5</v>
      </c>
      <c r="O568">
        <v>3661.5</v>
      </c>
      <c r="T568" s="1"/>
    </row>
    <row r="569" spans="1:20">
      <c r="A569">
        <v>4</v>
      </c>
      <c r="B569">
        <v>694579</v>
      </c>
      <c r="C569" t="s">
        <v>13</v>
      </c>
      <c r="D569" s="2">
        <v>2156</v>
      </c>
      <c r="E569" s="1">
        <v>44105</v>
      </c>
      <c r="F569">
        <v>1</v>
      </c>
      <c r="G569">
        <v>10</v>
      </c>
      <c r="H569">
        <v>2020</v>
      </c>
      <c r="I569" s="5">
        <f>(Table32[[#This Row],[Revenue]]/Table32[[#This Row],[Units Sold]])</f>
        <v>4</v>
      </c>
      <c r="J569" s="5">
        <f>Table32[[#This Row],[revenue/unit]]-Table32[[#This Row],[Cost/unit]]</f>
        <v>2.5</v>
      </c>
      <c r="K569">
        <f>Table32[[#This Row],[Revenue]]-Table32[[#This Row],[Cost]]</f>
        <v>5390</v>
      </c>
      <c r="L569" s="6">
        <f>Table32[[#This Row],[Net Profit]]/Table32[[#This Row],[Cost]]</f>
        <v>1.6666666666666667</v>
      </c>
      <c r="M569">
        <v>8624</v>
      </c>
      <c r="N569" s="7">
        <f>Table32[[#This Row],[Cost]]/Table32[[#This Row],[Units Sold]]</f>
        <v>1.5</v>
      </c>
      <c r="O569">
        <v>3234</v>
      </c>
      <c r="T569" s="1"/>
    </row>
    <row r="570" spans="1:20">
      <c r="A570">
        <v>2</v>
      </c>
      <c r="B570">
        <v>289035</v>
      </c>
      <c r="C570" t="s">
        <v>13</v>
      </c>
      <c r="D570" s="2">
        <v>1496</v>
      </c>
      <c r="E570" s="1">
        <v>44105</v>
      </c>
      <c r="F570">
        <v>1</v>
      </c>
      <c r="G570">
        <v>10</v>
      </c>
      <c r="H570">
        <v>2020</v>
      </c>
      <c r="I570" s="5">
        <f>(Table32[[#This Row],[Revenue]]/Table32[[#This Row],[Units Sold]])</f>
        <v>4</v>
      </c>
      <c r="J570" s="5">
        <f>Table32[[#This Row],[revenue/unit]]-Table32[[#This Row],[Cost/unit]]</f>
        <v>2.5</v>
      </c>
      <c r="K570">
        <f>Table32[[#This Row],[Revenue]]-Table32[[#This Row],[Cost]]</f>
        <v>3740</v>
      </c>
      <c r="L570" s="6">
        <f>Table32[[#This Row],[Net Profit]]/Table32[[#This Row],[Cost]]</f>
        <v>1.6666666666666667</v>
      </c>
      <c r="M570">
        <v>5984</v>
      </c>
      <c r="N570" s="7">
        <f>Table32[[#This Row],[Cost]]/Table32[[#This Row],[Units Sold]]</f>
        <v>1.5</v>
      </c>
      <c r="O570">
        <v>2244</v>
      </c>
      <c r="T570" s="1"/>
    </row>
    <row r="571" spans="1:20">
      <c r="A571">
        <v>5</v>
      </c>
      <c r="B571">
        <v>411519</v>
      </c>
      <c r="C571" t="s">
        <v>13</v>
      </c>
      <c r="D571" s="2">
        <v>1010</v>
      </c>
      <c r="E571" s="1">
        <v>44105</v>
      </c>
      <c r="F571">
        <v>1</v>
      </c>
      <c r="G571">
        <v>10</v>
      </c>
      <c r="H571">
        <v>2020</v>
      </c>
      <c r="I571" s="5">
        <f>(Table32[[#This Row],[Revenue]]/Table32[[#This Row],[Units Sold]])</f>
        <v>4</v>
      </c>
      <c r="J571" s="5">
        <f>Table32[[#This Row],[revenue/unit]]-Table32[[#This Row],[Cost/unit]]</f>
        <v>2.5</v>
      </c>
      <c r="K571">
        <f>Table32[[#This Row],[Revenue]]-Table32[[#This Row],[Cost]]</f>
        <v>2525</v>
      </c>
      <c r="L571" s="6">
        <f>Table32[[#This Row],[Net Profit]]/Table32[[#This Row],[Cost]]</f>
        <v>1.6666666666666667</v>
      </c>
      <c r="M571">
        <v>4040</v>
      </c>
      <c r="N571" s="7">
        <f>Table32[[#This Row],[Cost]]/Table32[[#This Row],[Units Sold]]</f>
        <v>1.5</v>
      </c>
      <c r="O571">
        <v>1515</v>
      </c>
      <c r="T571" s="1"/>
    </row>
    <row r="572" spans="1:20">
      <c r="A572">
        <v>4</v>
      </c>
      <c r="B572">
        <v>329257</v>
      </c>
      <c r="C572" t="s">
        <v>13</v>
      </c>
      <c r="D572" s="2">
        <v>1085</v>
      </c>
      <c r="E572" s="1">
        <v>44105</v>
      </c>
      <c r="F572">
        <v>1</v>
      </c>
      <c r="G572">
        <v>10</v>
      </c>
      <c r="H572">
        <v>2020</v>
      </c>
      <c r="I572" s="5">
        <f>(Table32[[#This Row],[Revenue]]/Table32[[#This Row],[Units Sold]])</f>
        <v>4</v>
      </c>
      <c r="J572" s="5">
        <f>Table32[[#This Row],[revenue/unit]]-Table32[[#This Row],[Cost/unit]]</f>
        <v>2.5</v>
      </c>
      <c r="K572">
        <f>Table32[[#This Row],[Revenue]]-Table32[[#This Row],[Cost]]</f>
        <v>2712.5</v>
      </c>
      <c r="L572" s="6">
        <f>Table32[[#This Row],[Net Profit]]/Table32[[#This Row],[Cost]]</f>
        <v>1.6666666666666667</v>
      </c>
      <c r="M572">
        <v>4340</v>
      </c>
      <c r="N572" s="7">
        <f>Table32[[#This Row],[Cost]]/Table32[[#This Row],[Units Sold]]</f>
        <v>1.5</v>
      </c>
      <c r="O572">
        <v>1627.5</v>
      </c>
      <c r="T572" s="1"/>
    </row>
    <row r="573" spans="1:20">
      <c r="A573">
        <v>2</v>
      </c>
      <c r="B573">
        <v>791359</v>
      </c>
      <c r="C573" t="s">
        <v>14</v>
      </c>
      <c r="D573" s="2">
        <v>1397</v>
      </c>
      <c r="E573" s="1">
        <v>44105</v>
      </c>
      <c r="F573">
        <v>1</v>
      </c>
      <c r="G573">
        <v>10</v>
      </c>
      <c r="H573">
        <v>2020</v>
      </c>
      <c r="I573" s="5">
        <f>(Table32[[#This Row],[Revenue]]/Table32[[#This Row],[Units Sold]])</f>
        <v>3</v>
      </c>
      <c r="J573" s="5">
        <f>Table32[[#This Row],[revenue/unit]]-Table32[[#This Row],[Cost/unit]]</f>
        <v>1.75</v>
      </c>
      <c r="K573">
        <f>Table32[[#This Row],[Revenue]]-Table32[[#This Row],[Cost]]</f>
        <v>2444.75</v>
      </c>
      <c r="L573" s="6">
        <f>Table32[[#This Row],[Net Profit]]/Table32[[#This Row],[Cost]]</f>
        <v>1.4</v>
      </c>
      <c r="M573">
        <v>4191</v>
      </c>
      <c r="N573" s="7">
        <f>Table32[[#This Row],[Cost]]/Table32[[#This Row],[Units Sold]]</f>
        <v>1.25</v>
      </c>
      <c r="O573">
        <v>1746.25</v>
      </c>
      <c r="T573" s="1"/>
    </row>
    <row r="574" spans="1:20">
      <c r="A574">
        <v>4</v>
      </c>
      <c r="B574">
        <v>439635</v>
      </c>
      <c r="C574" t="s">
        <v>14</v>
      </c>
      <c r="D574" s="2">
        <v>2877</v>
      </c>
      <c r="E574" s="1">
        <v>44105</v>
      </c>
      <c r="F574">
        <v>1</v>
      </c>
      <c r="G574">
        <v>10</v>
      </c>
      <c r="H574">
        <v>2020</v>
      </c>
      <c r="I574" s="5">
        <f>(Table32[[#This Row],[Revenue]]/Table32[[#This Row],[Units Sold]])</f>
        <v>3</v>
      </c>
      <c r="J574" s="5">
        <f>Table32[[#This Row],[revenue/unit]]-Table32[[#This Row],[Cost/unit]]</f>
        <v>1.75</v>
      </c>
      <c r="K574">
        <f>Table32[[#This Row],[Revenue]]-Table32[[#This Row],[Cost]]</f>
        <v>5034.75</v>
      </c>
      <c r="L574" s="6">
        <f>Table32[[#This Row],[Net Profit]]/Table32[[#This Row],[Cost]]</f>
        <v>1.4</v>
      </c>
      <c r="M574">
        <v>8631</v>
      </c>
      <c r="N574" s="7">
        <f>Table32[[#This Row],[Cost]]/Table32[[#This Row],[Units Sold]]</f>
        <v>1.25</v>
      </c>
      <c r="O574">
        <v>3596.25</v>
      </c>
      <c r="T574" s="1"/>
    </row>
    <row r="575" spans="1:20">
      <c r="A575">
        <v>1</v>
      </c>
      <c r="B575">
        <v>144559</v>
      </c>
      <c r="C575" t="s">
        <v>14</v>
      </c>
      <c r="D575" s="2">
        <v>2177</v>
      </c>
      <c r="E575" s="1">
        <v>44105</v>
      </c>
      <c r="F575">
        <v>1</v>
      </c>
      <c r="G575">
        <v>10</v>
      </c>
      <c r="H575">
        <v>2020</v>
      </c>
      <c r="I575" s="5">
        <f>(Table32[[#This Row],[Revenue]]/Table32[[#This Row],[Units Sold]])</f>
        <v>3</v>
      </c>
      <c r="J575" s="5">
        <f>Table32[[#This Row],[revenue/unit]]-Table32[[#This Row],[Cost/unit]]</f>
        <v>1.75</v>
      </c>
      <c r="K575">
        <f>Table32[[#This Row],[Revenue]]-Table32[[#This Row],[Cost]]</f>
        <v>3809.75</v>
      </c>
      <c r="L575" s="6">
        <f>Table32[[#This Row],[Net Profit]]/Table32[[#This Row],[Cost]]</f>
        <v>1.4</v>
      </c>
      <c r="M575">
        <v>6531</v>
      </c>
      <c r="N575" s="7">
        <f>Table32[[#This Row],[Cost]]/Table32[[#This Row],[Units Sold]]</f>
        <v>1.25</v>
      </c>
      <c r="O575">
        <v>2721.25</v>
      </c>
      <c r="T575" s="1"/>
    </row>
    <row r="576" spans="1:20">
      <c r="A576">
        <v>5</v>
      </c>
      <c r="B576">
        <v>639651</v>
      </c>
      <c r="C576" t="s">
        <v>14</v>
      </c>
      <c r="D576" s="2">
        <v>2689</v>
      </c>
      <c r="E576" s="1">
        <v>44105</v>
      </c>
      <c r="F576">
        <v>1</v>
      </c>
      <c r="G576">
        <v>10</v>
      </c>
      <c r="H576">
        <v>2020</v>
      </c>
      <c r="I576" s="5">
        <f>(Table32[[#This Row],[Revenue]]/Table32[[#This Row],[Units Sold]])</f>
        <v>3</v>
      </c>
      <c r="J576" s="5">
        <f>Table32[[#This Row],[revenue/unit]]-Table32[[#This Row],[Cost/unit]]</f>
        <v>1.75</v>
      </c>
      <c r="K576">
        <f>Table32[[#This Row],[Revenue]]-Table32[[#This Row],[Cost]]</f>
        <v>4705.75</v>
      </c>
      <c r="L576" s="6">
        <f>Table32[[#This Row],[Net Profit]]/Table32[[#This Row],[Cost]]</f>
        <v>1.4</v>
      </c>
      <c r="M576">
        <v>8067</v>
      </c>
      <c r="N576" s="7">
        <f>Table32[[#This Row],[Cost]]/Table32[[#This Row],[Units Sold]]</f>
        <v>1.25</v>
      </c>
      <c r="O576">
        <v>3361.25</v>
      </c>
      <c r="T576" s="1"/>
    </row>
    <row r="577" spans="1:20">
      <c r="A577">
        <v>4</v>
      </c>
      <c r="B577">
        <v>666684</v>
      </c>
      <c r="C577" t="s">
        <v>14</v>
      </c>
      <c r="D577" s="2">
        <v>1153</v>
      </c>
      <c r="E577" s="1">
        <v>44105</v>
      </c>
      <c r="F577">
        <v>1</v>
      </c>
      <c r="G577">
        <v>10</v>
      </c>
      <c r="H577">
        <v>2020</v>
      </c>
      <c r="I577" s="5">
        <f>(Table32[[#This Row],[Revenue]]/Table32[[#This Row],[Units Sold]])</f>
        <v>3</v>
      </c>
      <c r="J577" s="5">
        <f>Table32[[#This Row],[revenue/unit]]-Table32[[#This Row],[Cost/unit]]</f>
        <v>1.75</v>
      </c>
      <c r="K577">
        <f>Table32[[#This Row],[Revenue]]-Table32[[#This Row],[Cost]]</f>
        <v>2017.75</v>
      </c>
      <c r="L577" s="6">
        <f>Table32[[#This Row],[Net Profit]]/Table32[[#This Row],[Cost]]</f>
        <v>1.4</v>
      </c>
      <c r="M577">
        <v>3459</v>
      </c>
      <c r="N577" s="7">
        <f>Table32[[#This Row],[Cost]]/Table32[[#This Row],[Units Sold]]</f>
        <v>1.25</v>
      </c>
      <c r="O577">
        <v>1441.25</v>
      </c>
      <c r="T577" s="1"/>
    </row>
    <row r="578" spans="1:20">
      <c r="A578">
        <v>2</v>
      </c>
      <c r="B578">
        <v>699845</v>
      </c>
      <c r="C578" t="s">
        <v>14</v>
      </c>
      <c r="D578" s="2">
        <v>1227</v>
      </c>
      <c r="E578" s="1">
        <v>44105</v>
      </c>
      <c r="F578">
        <v>1</v>
      </c>
      <c r="G578">
        <v>10</v>
      </c>
      <c r="H578">
        <v>2020</v>
      </c>
      <c r="I578" s="5">
        <f>(Table32[[#This Row],[Revenue]]/Table32[[#This Row],[Units Sold]])</f>
        <v>3</v>
      </c>
      <c r="J578" s="5">
        <f>Table32[[#This Row],[revenue/unit]]-Table32[[#This Row],[Cost/unit]]</f>
        <v>1.75</v>
      </c>
      <c r="K578">
        <f>Table32[[#This Row],[Revenue]]-Table32[[#This Row],[Cost]]</f>
        <v>2147.25</v>
      </c>
      <c r="L578" s="6">
        <f>Table32[[#This Row],[Net Profit]]/Table32[[#This Row],[Cost]]</f>
        <v>1.4</v>
      </c>
      <c r="M578">
        <v>3681</v>
      </c>
      <c r="N578" s="7">
        <f>Table32[[#This Row],[Cost]]/Table32[[#This Row],[Units Sold]]</f>
        <v>1.25</v>
      </c>
      <c r="O578">
        <v>1533.75</v>
      </c>
      <c r="T578" s="1"/>
    </row>
    <row r="579" spans="1:20">
      <c r="A579">
        <v>4</v>
      </c>
      <c r="B579">
        <v>881898</v>
      </c>
      <c r="C579" t="s">
        <v>14</v>
      </c>
      <c r="D579" s="2">
        <v>360</v>
      </c>
      <c r="E579" s="1">
        <v>44105</v>
      </c>
      <c r="F579">
        <v>1</v>
      </c>
      <c r="G579">
        <v>10</v>
      </c>
      <c r="H579">
        <v>2020</v>
      </c>
      <c r="I579" s="5">
        <f>(Table32[[#This Row],[Revenue]]/Table32[[#This Row],[Units Sold]])</f>
        <v>3</v>
      </c>
      <c r="J579" s="5">
        <f>Table32[[#This Row],[revenue/unit]]-Table32[[#This Row],[Cost/unit]]</f>
        <v>1.75</v>
      </c>
      <c r="K579">
        <f>Table32[[#This Row],[Revenue]]-Table32[[#This Row],[Cost]]</f>
        <v>630</v>
      </c>
      <c r="L579" s="6">
        <f>Table32[[#This Row],[Net Profit]]/Table32[[#This Row],[Cost]]</f>
        <v>1.4</v>
      </c>
      <c r="M579">
        <v>1080</v>
      </c>
      <c r="N579" s="7">
        <f>Table32[[#This Row],[Cost]]/Table32[[#This Row],[Units Sold]]</f>
        <v>1.25</v>
      </c>
      <c r="O579">
        <v>450</v>
      </c>
      <c r="T579" s="1"/>
    </row>
    <row r="580" spans="1:20">
      <c r="A580">
        <v>1</v>
      </c>
      <c r="B580">
        <v>305275</v>
      </c>
      <c r="C580" t="s">
        <v>14</v>
      </c>
      <c r="D580" s="2">
        <v>986</v>
      </c>
      <c r="E580" s="1">
        <v>44105</v>
      </c>
      <c r="F580">
        <v>1</v>
      </c>
      <c r="G580">
        <v>10</v>
      </c>
      <c r="H580">
        <v>2020</v>
      </c>
      <c r="I580" s="5">
        <f>(Table32[[#This Row],[Revenue]]/Table32[[#This Row],[Units Sold]])</f>
        <v>3</v>
      </c>
      <c r="J580" s="5">
        <f>Table32[[#This Row],[revenue/unit]]-Table32[[#This Row],[Cost/unit]]</f>
        <v>1.75</v>
      </c>
      <c r="K580">
        <f>Table32[[#This Row],[Revenue]]-Table32[[#This Row],[Cost]]</f>
        <v>1725.5</v>
      </c>
      <c r="L580" s="6">
        <f>Table32[[#This Row],[Net Profit]]/Table32[[#This Row],[Cost]]</f>
        <v>1.4</v>
      </c>
      <c r="M580">
        <v>2958</v>
      </c>
      <c r="N580" s="7">
        <f>Table32[[#This Row],[Cost]]/Table32[[#This Row],[Units Sold]]</f>
        <v>1.25</v>
      </c>
      <c r="O580">
        <v>1232.5</v>
      </c>
      <c r="T580" s="1"/>
    </row>
    <row r="581" spans="1:20">
      <c r="A581">
        <v>1</v>
      </c>
      <c r="B581">
        <v>762271</v>
      </c>
      <c r="C581" t="s">
        <v>14</v>
      </c>
      <c r="D581" s="2">
        <v>1565</v>
      </c>
      <c r="E581" s="1">
        <v>44105</v>
      </c>
      <c r="F581">
        <v>1</v>
      </c>
      <c r="G581">
        <v>10</v>
      </c>
      <c r="H581">
        <v>2020</v>
      </c>
      <c r="I581" s="5">
        <f>(Table32[[#This Row],[Revenue]]/Table32[[#This Row],[Units Sold]])</f>
        <v>3</v>
      </c>
      <c r="J581" s="5">
        <f>Table32[[#This Row],[revenue/unit]]-Table32[[#This Row],[Cost/unit]]</f>
        <v>1.75</v>
      </c>
      <c r="K581">
        <f>Table32[[#This Row],[Revenue]]-Table32[[#This Row],[Cost]]</f>
        <v>2738.75</v>
      </c>
      <c r="L581" s="6">
        <f>Table32[[#This Row],[Net Profit]]/Table32[[#This Row],[Cost]]</f>
        <v>1.4</v>
      </c>
      <c r="M581">
        <v>4695</v>
      </c>
      <c r="N581" s="7">
        <f>Table32[[#This Row],[Cost]]/Table32[[#This Row],[Units Sold]]</f>
        <v>1.25</v>
      </c>
      <c r="O581">
        <v>1956.25</v>
      </c>
      <c r="T581" s="1"/>
    </row>
    <row r="582" spans="1:20">
      <c r="A582">
        <v>2</v>
      </c>
      <c r="B582">
        <v>356877</v>
      </c>
      <c r="C582" t="s">
        <v>14</v>
      </c>
      <c r="D582" s="2">
        <v>1496</v>
      </c>
      <c r="E582" s="1">
        <v>44105</v>
      </c>
      <c r="F582">
        <v>1</v>
      </c>
      <c r="G582">
        <v>10</v>
      </c>
      <c r="H582">
        <v>2020</v>
      </c>
      <c r="I582" s="5">
        <f>(Table32[[#This Row],[Revenue]]/Table32[[#This Row],[Units Sold]])</f>
        <v>3</v>
      </c>
      <c r="J582" s="5">
        <f>Table32[[#This Row],[revenue/unit]]-Table32[[#This Row],[Cost/unit]]</f>
        <v>1.75</v>
      </c>
      <c r="K582">
        <f>Table32[[#This Row],[Revenue]]-Table32[[#This Row],[Cost]]</f>
        <v>2618</v>
      </c>
      <c r="L582" s="6">
        <f>Table32[[#This Row],[Net Profit]]/Table32[[#This Row],[Cost]]</f>
        <v>1.4</v>
      </c>
      <c r="M582">
        <v>4488</v>
      </c>
      <c r="N582" s="7">
        <f>Table32[[#This Row],[Cost]]/Table32[[#This Row],[Units Sold]]</f>
        <v>1.25</v>
      </c>
      <c r="O582">
        <v>1870</v>
      </c>
      <c r="T582" s="1"/>
    </row>
    <row r="583" spans="1:20">
      <c r="A583">
        <v>5</v>
      </c>
      <c r="B583">
        <v>208723</v>
      </c>
      <c r="C583" t="s">
        <v>14</v>
      </c>
      <c r="D583" s="2">
        <v>1010</v>
      </c>
      <c r="E583" s="1">
        <v>44105</v>
      </c>
      <c r="F583">
        <v>1</v>
      </c>
      <c r="G583">
        <v>10</v>
      </c>
      <c r="H583">
        <v>2020</v>
      </c>
      <c r="I583" s="5">
        <f>(Table32[[#This Row],[Revenue]]/Table32[[#This Row],[Units Sold]])</f>
        <v>3</v>
      </c>
      <c r="J583" s="5">
        <f>Table32[[#This Row],[revenue/unit]]-Table32[[#This Row],[Cost/unit]]</f>
        <v>1.75</v>
      </c>
      <c r="K583">
        <f>Table32[[#This Row],[Revenue]]-Table32[[#This Row],[Cost]]</f>
        <v>1767.5</v>
      </c>
      <c r="L583" s="6">
        <f>Table32[[#This Row],[Net Profit]]/Table32[[#This Row],[Cost]]</f>
        <v>1.4</v>
      </c>
      <c r="M583">
        <v>3030</v>
      </c>
      <c r="N583" s="7">
        <f>Table32[[#This Row],[Cost]]/Table32[[#This Row],[Units Sold]]</f>
        <v>1.25</v>
      </c>
      <c r="O583">
        <v>1262.5</v>
      </c>
      <c r="T583" s="1"/>
    </row>
    <row r="584" spans="1:20">
      <c r="A584">
        <v>2</v>
      </c>
      <c r="B584">
        <v>330030</v>
      </c>
      <c r="C584" t="s">
        <v>14</v>
      </c>
      <c r="D584" s="2">
        <v>1175</v>
      </c>
      <c r="E584" s="1">
        <v>44105</v>
      </c>
      <c r="F584">
        <v>1</v>
      </c>
      <c r="G584">
        <v>10</v>
      </c>
      <c r="H584">
        <v>2020</v>
      </c>
      <c r="I584" s="5">
        <f>(Table32[[#This Row],[Revenue]]/Table32[[#This Row],[Units Sold]])</f>
        <v>3</v>
      </c>
      <c r="J584" s="5">
        <f>Table32[[#This Row],[revenue/unit]]-Table32[[#This Row],[Cost/unit]]</f>
        <v>1.75</v>
      </c>
      <c r="K584">
        <f>Table32[[#This Row],[Revenue]]-Table32[[#This Row],[Cost]]</f>
        <v>2056.25</v>
      </c>
      <c r="L584" s="6">
        <f>Table32[[#This Row],[Net Profit]]/Table32[[#This Row],[Cost]]</f>
        <v>1.4</v>
      </c>
      <c r="M584">
        <v>3525</v>
      </c>
      <c r="N584" s="7">
        <f>Table32[[#This Row],[Cost]]/Table32[[#This Row],[Units Sold]]</f>
        <v>1.25</v>
      </c>
      <c r="O584">
        <v>1468.75</v>
      </c>
      <c r="T584" s="1"/>
    </row>
    <row r="585" spans="1:20">
      <c r="A585">
        <v>2</v>
      </c>
      <c r="B585">
        <v>149035</v>
      </c>
      <c r="C585" t="s">
        <v>15</v>
      </c>
      <c r="D585" s="2">
        <v>1566</v>
      </c>
      <c r="E585" s="1">
        <v>44105</v>
      </c>
      <c r="F585">
        <v>1</v>
      </c>
      <c r="G585">
        <v>10</v>
      </c>
      <c r="H585">
        <v>2020</v>
      </c>
      <c r="I585" s="5">
        <f>(Table32[[#This Row],[Revenue]]/Table32[[#This Row],[Units Sold]])</f>
        <v>6</v>
      </c>
      <c r="J585" s="5">
        <f>Table32[[#This Row],[revenue/unit]]-Table32[[#This Row],[Cost/unit]]</f>
        <v>3.25</v>
      </c>
      <c r="K585">
        <f>Table32[[#This Row],[Revenue]]-Table32[[#This Row],[Cost]]</f>
        <v>5089.5</v>
      </c>
      <c r="L585" s="6">
        <f>Table32[[#This Row],[Net Profit]]/Table32[[#This Row],[Cost]]</f>
        <v>1.1818181818181819</v>
      </c>
      <c r="M585">
        <v>9396</v>
      </c>
      <c r="N585" s="7">
        <f>Table32[[#This Row],[Cost]]/Table32[[#This Row],[Units Sold]]</f>
        <v>2.75</v>
      </c>
      <c r="O585">
        <v>4306.5</v>
      </c>
      <c r="T585" s="1"/>
    </row>
    <row r="586" spans="1:20">
      <c r="A586">
        <v>2</v>
      </c>
      <c r="B586">
        <v>426268</v>
      </c>
      <c r="C586" t="s">
        <v>15</v>
      </c>
      <c r="D586" s="2">
        <v>2877</v>
      </c>
      <c r="E586" s="1">
        <v>44105</v>
      </c>
      <c r="F586">
        <v>1</v>
      </c>
      <c r="G586">
        <v>10</v>
      </c>
      <c r="H586">
        <v>2020</v>
      </c>
      <c r="I586" s="5">
        <f>(Table32[[#This Row],[Revenue]]/Table32[[#This Row],[Units Sold]])</f>
        <v>6</v>
      </c>
      <c r="J586" s="5">
        <f>Table32[[#This Row],[revenue/unit]]-Table32[[#This Row],[Cost/unit]]</f>
        <v>3.25</v>
      </c>
      <c r="K586">
        <f>Table32[[#This Row],[Revenue]]-Table32[[#This Row],[Cost]]</f>
        <v>9350.25</v>
      </c>
      <c r="L586" s="6">
        <f>Table32[[#This Row],[Net Profit]]/Table32[[#This Row],[Cost]]</f>
        <v>1.1818181818181819</v>
      </c>
      <c r="M586">
        <v>17262</v>
      </c>
      <c r="N586" s="7">
        <f>Table32[[#This Row],[Cost]]/Table32[[#This Row],[Units Sold]]</f>
        <v>2.75</v>
      </c>
      <c r="O586">
        <v>7911.75</v>
      </c>
      <c r="T586" s="1"/>
    </row>
    <row r="587" spans="1:20">
      <c r="A587">
        <v>4</v>
      </c>
      <c r="B587">
        <v>899743</v>
      </c>
      <c r="C587" t="s">
        <v>15</v>
      </c>
      <c r="D587" s="2">
        <v>2009</v>
      </c>
      <c r="E587" s="1">
        <v>44105</v>
      </c>
      <c r="F587">
        <v>1</v>
      </c>
      <c r="G587">
        <v>10</v>
      </c>
      <c r="H587">
        <v>2020</v>
      </c>
      <c r="I587" s="5">
        <f>(Table32[[#This Row],[Revenue]]/Table32[[#This Row],[Units Sold]])</f>
        <v>6</v>
      </c>
      <c r="J587" s="5">
        <f>Table32[[#This Row],[revenue/unit]]-Table32[[#This Row],[Cost/unit]]</f>
        <v>3.25</v>
      </c>
      <c r="K587">
        <f>Table32[[#This Row],[Revenue]]-Table32[[#This Row],[Cost]]</f>
        <v>6529.25</v>
      </c>
      <c r="L587" s="6">
        <f>Table32[[#This Row],[Net Profit]]/Table32[[#This Row],[Cost]]</f>
        <v>1.1818181818181819</v>
      </c>
      <c r="M587">
        <v>12054</v>
      </c>
      <c r="N587" s="7">
        <f>Table32[[#This Row],[Cost]]/Table32[[#This Row],[Units Sold]]</f>
        <v>2.75</v>
      </c>
      <c r="O587">
        <v>5524.75</v>
      </c>
      <c r="T587" s="1"/>
    </row>
    <row r="588" spans="1:20">
      <c r="A588">
        <v>3</v>
      </c>
      <c r="B588">
        <v>375461</v>
      </c>
      <c r="C588" t="s">
        <v>15</v>
      </c>
      <c r="D588" s="2">
        <v>2177</v>
      </c>
      <c r="E588" s="1">
        <v>44105</v>
      </c>
      <c r="F588">
        <v>1</v>
      </c>
      <c r="G588">
        <v>10</v>
      </c>
      <c r="H588">
        <v>2020</v>
      </c>
      <c r="I588" s="5">
        <f>(Table32[[#This Row],[Revenue]]/Table32[[#This Row],[Units Sold]])</f>
        <v>6</v>
      </c>
      <c r="J588" s="5">
        <f>Table32[[#This Row],[revenue/unit]]-Table32[[#This Row],[Cost/unit]]</f>
        <v>3.25</v>
      </c>
      <c r="K588">
        <f>Table32[[#This Row],[Revenue]]-Table32[[#This Row],[Cost]]</f>
        <v>7075.25</v>
      </c>
      <c r="L588" s="6">
        <f>Table32[[#This Row],[Net Profit]]/Table32[[#This Row],[Cost]]</f>
        <v>1.1818181818181819</v>
      </c>
      <c r="M588">
        <v>13062</v>
      </c>
      <c r="N588" s="7">
        <f>Table32[[#This Row],[Cost]]/Table32[[#This Row],[Units Sold]]</f>
        <v>2.75</v>
      </c>
      <c r="O588">
        <v>5986.75</v>
      </c>
      <c r="T588" s="1"/>
    </row>
    <row r="589" spans="1:20">
      <c r="A589">
        <v>4</v>
      </c>
      <c r="B589">
        <v>304806</v>
      </c>
      <c r="C589" t="s">
        <v>15</v>
      </c>
      <c r="D589" s="2">
        <v>861</v>
      </c>
      <c r="E589" s="1">
        <v>44105</v>
      </c>
      <c r="F589">
        <v>1</v>
      </c>
      <c r="G589">
        <v>10</v>
      </c>
      <c r="H589">
        <v>2020</v>
      </c>
      <c r="I589" s="5">
        <f>(Table32[[#This Row],[Revenue]]/Table32[[#This Row],[Units Sold]])</f>
        <v>6</v>
      </c>
      <c r="J589" s="5">
        <f>Table32[[#This Row],[revenue/unit]]-Table32[[#This Row],[Cost/unit]]</f>
        <v>3.25</v>
      </c>
      <c r="K589">
        <f>Table32[[#This Row],[Revenue]]-Table32[[#This Row],[Cost]]</f>
        <v>2798.25</v>
      </c>
      <c r="L589" s="6">
        <f>Table32[[#This Row],[Net Profit]]/Table32[[#This Row],[Cost]]</f>
        <v>1.1818181818181819</v>
      </c>
      <c r="M589">
        <v>5166</v>
      </c>
      <c r="N589" s="7">
        <f>Table32[[#This Row],[Cost]]/Table32[[#This Row],[Units Sold]]</f>
        <v>2.75</v>
      </c>
      <c r="O589">
        <v>2367.75</v>
      </c>
      <c r="T589" s="1"/>
    </row>
    <row r="590" spans="1:20">
      <c r="A590">
        <v>4</v>
      </c>
      <c r="B590">
        <v>235009</v>
      </c>
      <c r="C590" t="s">
        <v>15</v>
      </c>
      <c r="D590" s="2">
        <v>1976</v>
      </c>
      <c r="E590" s="1">
        <v>44105</v>
      </c>
      <c r="F590">
        <v>1</v>
      </c>
      <c r="G590">
        <v>10</v>
      </c>
      <c r="H590">
        <v>2020</v>
      </c>
      <c r="I590" s="5">
        <f>(Table32[[#This Row],[Revenue]]/Table32[[#This Row],[Units Sold]])</f>
        <v>6</v>
      </c>
      <c r="J590" s="5">
        <f>Table32[[#This Row],[revenue/unit]]-Table32[[#This Row],[Cost/unit]]</f>
        <v>3.25</v>
      </c>
      <c r="K590">
        <f>Table32[[#This Row],[Revenue]]-Table32[[#This Row],[Cost]]</f>
        <v>6422</v>
      </c>
      <c r="L590" s="6">
        <f>Table32[[#This Row],[Net Profit]]/Table32[[#This Row],[Cost]]</f>
        <v>1.1818181818181819</v>
      </c>
      <c r="M590">
        <v>11856</v>
      </c>
      <c r="N590" s="7">
        <f>Table32[[#This Row],[Cost]]/Table32[[#This Row],[Units Sold]]</f>
        <v>2.75</v>
      </c>
      <c r="O590">
        <v>5434</v>
      </c>
      <c r="T590" s="1"/>
    </row>
    <row r="591" spans="1:20">
      <c r="A591">
        <v>3</v>
      </c>
      <c r="B591">
        <v>447945</v>
      </c>
      <c r="C591" t="s">
        <v>15</v>
      </c>
      <c r="D591" s="2">
        <v>1269</v>
      </c>
      <c r="E591" s="1">
        <v>44105</v>
      </c>
      <c r="F591">
        <v>1</v>
      </c>
      <c r="G591">
        <v>10</v>
      </c>
      <c r="H591">
        <v>2020</v>
      </c>
      <c r="I591" s="5">
        <f>(Table32[[#This Row],[Revenue]]/Table32[[#This Row],[Units Sold]])</f>
        <v>6</v>
      </c>
      <c r="J591" s="5">
        <f>Table32[[#This Row],[revenue/unit]]-Table32[[#This Row],[Cost/unit]]</f>
        <v>3.25</v>
      </c>
      <c r="K591">
        <f>Table32[[#This Row],[Revenue]]-Table32[[#This Row],[Cost]]</f>
        <v>4124.25</v>
      </c>
      <c r="L591" s="6">
        <f>Table32[[#This Row],[Net Profit]]/Table32[[#This Row],[Cost]]</f>
        <v>1.1818181818181819</v>
      </c>
      <c r="M591">
        <v>7614</v>
      </c>
      <c r="N591" s="7">
        <f>Table32[[#This Row],[Cost]]/Table32[[#This Row],[Units Sold]]</f>
        <v>2.75</v>
      </c>
      <c r="O591">
        <v>3489.75</v>
      </c>
      <c r="T591" s="1"/>
    </row>
    <row r="592" spans="1:20">
      <c r="A592">
        <v>2</v>
      </c>
      <c r="B592">
        <v>775311</v>
      </c>
      <c r="C592" t="s">
        <v>15</v>
      </c>
      <c r="D592" s="2">
        <v>241</v>
      </c>
      <c r="E592" s="1">
        <v>44105</v>
      </c>
      <c r="F592">
        <v>1</v>
      </c>
      <c r="G592">
        <v>10</v>
      </c>
      <c r="H592">
        <v>2020</v>
      </c>
      <c r="I592" s="5">
        <f>(Table32[[#This Row],[Revenue]]/Table32[[#This Row],[Units Sold]])</f>
        <v>6</v>
      </c>
      <c r="J592" s="5">
        <f>Table32[[#This Row],[revenue/unit]]-Table32[[#This Row],[Cost/unit]]</f>
        <v>3.25</v>
      </c>
      <c r="K592">
        <f>Table32[[#This Row],[Revenue]]-Table32[[#This Row],[Cost]]</f>
        <v>783.25</v>
      </c>
      <c r="L592" s="6">
        <f>Table32[[#This Row],[Net Profit]]/Table32[[#This Row],[Cost]]</f>
        <v>1.1818181818181819</v>
      </c>
      <c r="M592">
        <v>1446</v>
      </c>
      <c r="N592" s="7">
        <f>Table32[[#This Row],[Cost]]/Table32[[#This Row],[Units Sold]]</f>
        <v>2.75</v>
      </c>
      <c r="O592">
        <v>662.75</v>
      </c>
      <c r="T592" s="1"/>
    </row>
    <row r="593" spans="1:20">
      <c r="A593">
        <v>2</v>
      </c>
      <c r="B593">
        <v>885051</v>
      </c>
      <c r="C593" t="s">
        <v>15</v>
      </c>
      <c r="D593" s="2">
        <v>472</v>
      </c>
      <c r="E593" s="1">
        <v>44105</v>
      </c>
      <c r="F593">
        <v>1</v>
      </c>
      <c r="G593">
        <v>10</v>
      </c>
      <c r="H593">
        <v>2020</v>
      </c>
      <c r="I593" s="5">
        <f>(Table32[[#This Row],[Revenue]]/Table32[[#This Row],[Units Sold]])</f>
        <v>6</v>
      </c>
      <c r="J593" s="5">
        <f>Table32[[#This Row],[revenue/unit]]-Table32[[#This Row],[Cost/unit]]</f>
        <v>3.25</v>
      </c>
      <c r="K593">
        <f>Table32[[#This Row],[Revenue]]-Table32[[#This Row],[Cost]]</f>
        <v>1534</v>
      </c>
      <c r="L593" s="6">
        <f>Table32[[#This Row],[Net Profit]]/Table32[[#This Row],[Cost]]</f>
        <v>1.1818181818181819</v>
      </c>
      <c r="M593">
        <v>2832</v>
      </c>
      <c r="N593" s="7">
        <f>Table32[[#This Row],[Cost]]/Table32[[#This Row],[Units Sold]]</f>
        <v>2.75</v>
      </c>
      <c r="O593">
        <v>1298</v>
      </c>
      <c r="T593" s="1"/>
    </row>
    <row r="594" spans="1:20">
      <c r="A594">
        <v>2</v>
      </c>
      <c r="B594">
        <v>382008</v>
      </c>
      <c r="C594" t="s">
        <v>15</v>
      </c>
      <c r="D594" s="2">
        <v>986</v>
      </c>
      <c r="E594" s="1">
        <v>44105</v>
      </c>
      <c r="F594">
        <v>1</v>
      </c>
      <c r="G594">
        <v>10</v>
      </c>
      <c r="H594">
        <v>2020</v>
      </c>
      <c r="I594" s="5">
        <f>(Table32[[#This Row],[Revenue]]/Table32[[#This Row],[Units Sold]])</f>
        <v>6</v>
      </c>
      <c r="J594" s="5">
        <f>Table32[[#This Row],[revenue/unit]]-Table32[[#This Row],[Cost/unit]]</f>
        <v>3.25</v>
      </c>
      <c r="K594">
        <f>Table32[[#This Row],[Revenue]]-Table32[[#This Row],[Cost]]</f>
        <v>3204.5</v>
      </c>
      <c r="L594" s="6">
        <f>Table32[[#This Row],[Net Profit]]/Table32[[#This Row],[Cost]]</f>
        <v>1.1818181818181819</v>
      </c>
      <c r="M594">
        <v>5916</v>
      </c>
      <c r="N594" s="7">
        <f>Table32[[#This Row],[Cost]]/Table32[[#This Row],[Units Sold]]</f>
        <v>2.75</v>
      </c>
      <c r="O594">
        <v>2711.5</v>
      </c>
      <c r="T594" s="1"/>
    </row>
    <row r="595" spans="1:20">
      <c r="A595">
        <v>3</v>
      </c>
      <c r="B595">
        <v>234667</v>
      </c>
      <c r="C595" t="s">
        <v>15</v>
      </c>
      <c r="D595" s="2">
        <v>905</v>
      </c>
      <c r="E595" s="1">
        <v>44105</v>
      </c>
      <c r="F595">
        <v>1</v>
      </c>
      <c r="G595">
        <v>10</v>
      </c>
      <c r="H595">
        <v>2020</v>
      </c>
      <c r="I595" s="5">
        <f>(Table32[[#This Row],[Revenue]]/Table32[[#This Row],[Units Sold]])</f>
        <v>6</v>
      </c>
      <c r="J595" s="5">
        <f>Table32[[#This Row],[revenue/unit]]-Table32[[#This Row],[Cost/unit]]</f>
        <v>3.25</v>
      </c>
      <c r="K595">
        <f>Table32[[#This Row],[Revenue]]-Table32[[#This Row],[Cost]]</f>
        <v>2941.25</v>
      </c>
      <c r="L595" s="6">
        <f>Table32[[#This Row],[Net Profit]]/Table32[[#This Row],[Cost]]</f>
        <v>1.1818181818181819</v>
      </c>
      <c r="M595">
        <v>5430</v>
      </c>
      <c r="N595" s="7">
        <f>Table32[[#This Row],[Cost]]/Table32[[#This Row],[Units Sold]]</f>
        <v>2.75</v>
      </c>
      <c r="O595">
        <v>2488.75</v>
      </c>
      <c r="T595" s="1"/>
    </row>
    <row r="596" spans="1:20">
      <c r="A596">
        <v>1</v>
      </c>
      <c r="B596">
        <v>617339</v>
      </c>
      <c r="C596" t="s">
        <v>15</v>
      </c>
      <c r="D596" s="2">
        <v>410</v>
      </c>
      <c r="E596" s="1">
        <v>44105</v>
      </c>
      <c r="F596">
        <v>1</v>
      </c>
      <c r="G596">
        <v>10</v>
      </c>
      <c r="H596">
        <v>2020</v>
      </c>
      <c r="I596" s="5">
        <f>(Table32[[#This Row],[Revenue]]/Table32[[#This Row],[Units Sold]])</f>
        <v>6</v>
      </c>
      <c r="J596" s="5">
        <f>Table32[[#This Row],[revenue/unit]]-Table32[[#This Row],[Cost/unit]]</f>
        <v>3.25</v>
      </c>
      <c r="K596">
        <f>Table32[[#This Row],[Revenue]]-Table32[[#This Row],[Cost]]</f>
        <v>1332.5</v>
      </c>
      <c r="L596" s="6">
        <f>Table32[[#This Row],[Net Profit]]/Table32[[#This Row],[Cost]]</f>
        <v>1.1818181818181819</v>
      </c>
      <c r="M596">
        <v>2460</v>
      </c>
      <c r="N596" s="7">
        <f>Table32[[#This Row],[Cost]]/Table32[[#This Row],[Units Sold]]</f>
        <v>2.75</v>
      </c>
      <c r="O596">
        <v>1127.5</v>
      </c>
      <c r="T596" s="1"/>
    </row>
    <row r="597" spans="1:20">
      <c r="A597">
        <v>4</v>
      </c>
      <c r="B597">
        <v>160202</v>
      </c>
      <c r="C597" t="s">
        <v>10</v>
      </c>
      <c r="D597" s="2">
        <v>2905</v>
      </c>
      <c r="E597" s="1">
        <v>44136</v>
      </c>
      <c r="F597">
        <v>1</v>
      </c>
      <c r="G597">
        <v>11</v>
      </c>
      <c r="H597">
        <v>2020</v>
      </c>
      <c r="I597" s="5">
        <f>(Table32[[#This Row],[Revenue]]/Table32[[#This Row],[Units Sold]])</f>
        <v>5</v>
      </c>
      <c r="J597" s="5">
        <f>Table32[[#This Row],[revenue/unit]]-Table32[[#This Row],[Cost/unit]]</f>
        <v>3</v>
      </c>
      <c r="K597">
        <f>Table32[[#This Row],[Revenue]]-Table32[[#This Row],[Cost]]</f>
        <v>8715</v>
      </c>
      <c r="L597" s="6">
        <f>Table32[[#This Row],[Net Profit]]/Table32[[#This Row],[Cost]]</f>
        <v>1.5</v>
      </c>
      <c r="M597">
        <v>14525</v>
      </c>
      <c r="N597" s="7">
        <f>Table32[[#This Row],[Cost]]/Table32[[#This Row],[Units Sold]]</f>
        <v>2</v>
      </c>
      <c r="O597">
        <v>5810</v>
      </c>
      <c r="T597" s="1"/>
    </row>
    <row r="598" spans="1:20">
      <c r="A598">
        <v>2</v>
      </c>
      <c r="B598">
        <v>205484</v>
      </c>
      <c r="C598" t="s">
        <v>10</v>
      </c>
      <c r="D598" s="2">
        <v>1324</v>
      </c>
      <c r="E598" s="1">
        <v>44136</v>
      </c>
      <c r="F598">
        <v>1</v>
      </c>
      <c r="G598">
        <v>11</v>
      </c>
      <c r="H598">
        <v>2020</v>
      </c>
      <c r="I598" s="5">
        <f>(Table32[[#This Row],[Revenue]]/Table32[[#This Row],[Units Sold]])</f>
        <v>5</v>
      </c>
      <c r="J598" s="5">
        <f>Table32[[#This Row],[revenue/unit]]-Table32[[#This Row],[Cost/unit]]</f>
        <v>3</v>
      </c>
      <c r="K598">
        <f>Table32[[#This Row],[Revenue]]-Table32[[#This Row],[Cost]]</f>
        <v>3972</v>
      </c>
      <c r="L598" s="6">
        <f>Table32[[#This Row],[Net Profit]]/Table32[[#This Row],[Cost]]</f>
        <v>1.5</v>
      </c>
      <c r="M598">
        <v>6620</v>
      </c>
      <c r="N598" s="7">
        <f>Table32[[#This Row],[Cost]]/Table32[[#This Row],[Units Sold]]</f>
        <v>2</v>
      </c>
      <c r="O598">
        <v>2648</v>
      </c>
      <c r="T598" s="1"/>
    </row>
    <row r="599" spans="1:20">
      <c r="A599">
        <v>3</v>
      </c>
      <c r="B599">
        <v>781275</v>
      </c>
      <c r="C599" t="s">
        <v>10</v>
      </c>
      <c r="D599" s="2">
        <v>1366</v>
      </c>
      <c r="E599" s="1">
        <v>44136</v>
      </c>
      <c r="F599">
        <v>1</v>
      </c>
      <c r="G599">
        <v>11</v>
      </c>
      <c r="H599">
        <v>2020</v>
      </c>
      <c r="I599" s="5">
        <f>(Table32[[#This Row],[Revenue]]/Table32[[#This Row],[Units Sold]])</f>
        <v>5</v>
      </c>
      <c r="J599" s="5">
        <f>Table32[[#This Row],[revenue/unit]]-Table32[[#This Row],[Cost/unit]]</f>
        <v>3</v>
      </c>
      <c r="K599">
        <f>Table32[[#This Row],[Revenue]]-Table32[[#This Row],[Cost]]</f>
        <v>4098</v>
      </c>
      <c r="L599" s="6">
        <f>Table32[[#This Row],[Net Profit]]/Table32[[#This Row],[Cost]]</f>
        <v>1.5</v>
      </c>
      <c r="M599">
        <v>6830</v>
      </c>
      <c r="N599" s="7">
        <f>Table32[[#This Row],[Cost]]/Table32[[#This Row],[Units Sold]]</f>
        <v>2</v>
      </c>
      <c r="O599">
        <v>2732</v>
      </c>
      <c r="T599" s="1"/>
    </row>
    <row r="600" spans="1:20">
      <c r="A600">
        <v>5</v>
      </c>
      <c r="B600">
        <v>559510</v>
      </c>
      <c r="C600" t="s">
        <v>10</v>
      </c>
      <c r="D600" s="2">
        <v>1594</v>
      </c>
      <c r="E600" s="1">
        <v>44136</v>
      </c>
      <c r="F600">
        <v>1</v>
      </c>
      <c r="G600">
        <v>11</v>
      </c>
      <c r="H600">
        <v>2020</v>
      </c>
      <c r="I600" s="5">
        <f>(Table32[[#This Row],[Revenue]]/Table32[[#This Row],[Units Sold]])</f>
        <v>5</v>
      </c>
      <c r="J600" s="5">
        <f>Table32[[#This Row],[revenue/unit]]-Table32[[#This Row],[Cost/unit]]</f>
        <v>3</v>
      </c>
      <c r="K600">
        <f>Table32[[#This Row],[Revenue]]-Table32[[#This Row],[Cost]]</f>
        <v>4782</v>
      </c>
      <c r="L600" s="6">
        <f>Table32[[#This Row],[Net Profit]]/Table32[[#This Row],[Cost]]</f>
        <v>1.5</v>
      </c>
      <c r="M600">
        <v>7970</v>
      </c>
      <c r="N600" s="7">
        <f>Table32[[#This Row],[Cost]]/Table32[[#This Row],[Units Sold]]</f>
        <v>2</v>
      </c>
      <c r="O600">
        <v>3188</v>
      </c>
      <c r="T600" s="1"/>
    </row>
    <row r="601" spans="1:20">
      <c r="A601">
        <v>2</v>
      </c>
      <c r="B601">
        <v>259455</v>
      </c>
      <c r="C601" t="s">
        <v>10</v>
      </c>
      <c r="D601" s="2">
        <v>1359</v>
      </c>
      <c r="E601" s="1">
        <v>44136</v>
      </c>
      <c r="F601">
        <v>1</v>
      </c>
      <c r="G601">
        <v>11</v>
      </c>
      <c r="H601">
        <v>2020</v>
      </c>
      <c r="I601" s="5">
        <f>(Table32[[#This Row],[Revenue]]/Table32[[#This Row],[Units Sold]])</f>
        <v>5</v>
      </c>
      <c r="J601" s="5">
        <f>Table32[[#This Row],[revenue/unit]]-Table32[[#This Row],[Cost/unit]]</f>
        <v>3</v>
      </c>
      <c r="K601">
        <f>Table32[[#This Row],[Revenue]]-Table32[[#This Row],[Cost]]</f>
        <v>4077</v>
      </c>
      <c r="L601" s="6">
        <f>Table32[[#This Row],[Net Profit]]/Table32[[#This Row],[Cost]]</f>
        <v>1.5</v>
      </c>
      <c r="M601">
        <v>6795</v>
      </c>
      <c r="N601" s="7">
        <f>Table32[[#This Row],[Cost]]/Table32[[#This Row],[Units Sold]]</f>
        <v>2</v>
      </c>
      <c r="O601">
        <v>2718</v>
      </c>
      <c r="T601" s="1"/>
    </row>
    <row r="602" spans="1:20">
      <c r="A602">
        <v>2</v>
      </c>
      <c r="B602">
        <v>389356</v>
      </c>
      <c r="C602" t="s">
        <v>10</v>
      </c>
      <c r="D602" s="2">
        <v>2150</v>
      </c>
      <c r="E602" s="1">
        <v>44136</v>
      </c>
      <c r="F602">
        <v>1</v>
      </c>
      <c r="G602">
        <v>11</v>
      </c>
      <c r="H602">
        <v>2020</v>
      </c>
      <c r="I602" s="5">
        <f>(Table32[[#This Row],[Revenue]]/Table32[[#This Row],[Units Sold]])</f>
        <v>5</v>
      </c>
      <c r="J602" s="5">
        <f>Table32[[#This Row],[revenue/unit]]-Table32[[#This Row],[Cost/unit]]</f>
        <v>3</v>
      </c>
      <c r="K602">
        <f>Table32[[#This Row],[Revenue]]-Table32[[#This Row],[Cost]]</f>
        <v>6450</v>
      </c>
      <c r="L602" s="6">
        <f>Table32[[#This Row],[Net Profit]]/Table32[[#This Row],[Cost]]</f>
        <v>1.5</v>
      </c>
      <c r="M602">
        <v>10750</v>
      </c>
      <c r="N602" s="7">
        <f>Table32[[#This Row],[Cost]]/Table32[[#This Row],[Units Sold]]</f>
        <v>2</v>
      </c>
      <c r="O602">
        <v>4300</v>
      </c>
      <c r="T602" s="1"/>
    </row>
    <row r="603" spans="1:20">
      <c r="A603">
        <v>3</v>
      </c>
      <c r="B603">
        <v>582048</v>
      </c>
      <c r="C603" t="s">
        <v>10</v>
      </c>
      <c r="D603" s="2">
        <v>1197</v>
      </c>
      <c r="E603" s="1">
        <v>44136</v>
      </c>
      <c r="F603">
        <v>1</v>
      </c>
      <c r="G603">
        <v>11</v>
      </c>
      <c r="H603">
        <v>2020</v>
      </c>
      <c r="I603" s="5">
        <f>(Table32[[#This Row],[Revenue]]/Table32[[#This Row],[Units Sold]])</f>
        <v>5</v>
      </c>
      <c r="J603" s="5">
        <f>Table32[[#This Row],[revenue/unit]]-Table32[[#This Row],[Cost/unit]]</f>
        <v>3</v>
      </c>
      <c r="K603">
        <f>Table32[[#This Row],[Revenue]]-Table32[[#This Row],[Cost]]</f>
        <v>3591</v>
      </c>
      <c r="L603" s="6">
        <f>Table32[[#This Row],[Net Profit]]/Table32[[#This Row],[Cost]]</f>
        <v>1.5</v>
      </c>
      <c r="M603">
        <v>5985</v>
      </c>
      <c r="N603" s="7">
        <f>Table32[[#This Row],[Cost]]/Table32[[#This Row],[Units Sold]]</f>
        <v>2</v>
      </c>
      <c r="O603">
        <v>2394</v>
      </c>
      <c r="T603" s="1"/>
    </row>
    <row r="604" spans="1:20">
      <c r="A604">
        <v>3</v>
      </c>
      <c r="B604">
        <v>448428</v>
      </c>
      <c r="C604" t="s">
        <v>10</v>
      </c>
      <c r="D604" s="2">
        <v>357</v>
      </c>
      <c r="E604" s="1">
        <v>44136</v>
      </c>
      <c r="F604">
        <v>1</v>
      </c>
      <c r="G604">
        <v>11</v>
      </c>
      <c r="H604">
        <v>2020</v>
      </c>
      <c r="I604" s="5">
        <f>(Table32[[#This Row],[Revenue]]/Table32[[#This Row],[Units Sold]])</f>
        <v>5</v>
      </c>
      <c r="J604" s="5">
        <f>Table32[[#This Row],[revenue/unit]]-Table32[[#This Row],[Cost/unit]]</f>
        <v>3</v>
      </c>
      <c r="K604">
        <f>Table32[[#This Row],[Revenue]]-Table32[[#This Row],[Cost]]</f>
        <v>1071</v>
      </c>
      <c r="L604" s="6">
        <f>Table32[[#This Row],[Net Profit]]/Table32[[#This Row],[Cost]]</f>
        <v>1.5</v>
      </c>
      <c r="M604">
        <v>1785</v>
      </c>
      <c r="N604" s="7">
        <f>Table32[[#This Row],[Cost]]/Table32[[#This Row],[Units Sold]]</f>
        <v>2</v>
      </c>
      <c r="O604">
        <v>714</v>
      </c>
      <c r="T604" s="1"/>
    </row>
    <row r="605" spans="1:20">
      <c r="A605">
        <v>5</v>
      </c>
      <c r="B605">
        <v>778322</v>
      </c>
      <c r="C605" t="s">
        <v>10</v>
      </c>
      <c r="D605" s="2">
        <v>700</v>
      </c>
      <c r="E605" s="1">
        <v>44136</v>
      </c>
      <c r="F605">
        <v>1</v>
      </c>
      <c r="G605">
        <v>11</v>
      </c>
      <c r="H605">
        <v>2020</v>
      </c>
      <c r="I605" s="5">
        <f>(Table32[[#This Row],[Revenue]]/Table32[[#This Row],[Units Sold]])</f>
        <v>5</v>
      </c>
      <c r="J605" s="5">
        <f>Table32[[#This Row],[revenue/unit]]-Table32[[#This Row],[Cost/unit]]</f>
        <v>3</v>
      </c>
      <c r="K605">
        <f>Table32[[#This Row],[Revenue]]-Table32[[#This Row],[Cost]]</f>
        <v>2100</v>
      </c>
      <c r="L605" s="6">
        <f>Table32[[#This Row],[Net Profit]]/Table32[[#This Row],[Cost]]</f>
        <v>1.5</v>
      </c>
      <c r="M605">
        <v>3500</v>
      </c>
      <c r="N605" s="7">
        <f>Table32[[#This Row],[Cost]]/Table32[[#This Row],[Units Sold]]</f>
        <v>2</v>
      </c>
      <c r="O605">
        <v>1400</v>
      </c>
      <c r="T605" s="1"/>
    </row>
    <row r="606" spans="1:20">
      <c r="A606">
        <v>3</v>
      </c>
      <c r="B606">
        <v>763666</v>
      </c>
      <c r="C606" t="s">
        <v>10</v>
      </c>
      <c r="D606" s="2">
        <v>1177</v>
      </c>
      <c r="E606" s="1">
        <v>44136</v>
      </c>
      <c r="F606">
        <v>1</v>
      </c>
      <c r="G606">
        <v>11</v>
      </c>
      <c r="H606">
        <v>2020</v>
      </c>
      <c r="I606" s="5">
        <f>(Table32[[#This Row],[Revenue]]/Table32[[#This Row],[Units Sold]])</f>
        <v>5</v>
      </c>
      <c r="J606" s="5">
        <f>Table32[[#This Row],[revenue/unit]]-Table32[[#This Row],[Cost/unit]]</f>
        <v>3</v>
      </c>
      <c r="K606">
        <f>Table32[[#This Row],[Revenue]]-Table32[[#This Row],[Cost]]</f>
        <v>3531</v>
      </c>
      <c r="L606" s="6">
        <f>Table32[[#This Row],[Net Profit]]/Table32[[#This Row],[Cost]]</f>
        <v>1.5</v>
      </c>
      <c r="M606">
        <v>5885</v>
      </c>
      <c r="N606" s="7">
        <f>Table32[[#This Row],[Cost]]/Table32[[#This Row],[Units Sold]]</f>
        <v>2</v>
      </c>
      <c r="O606">
        <v>2354</v>
      </c>
      <c r="T606" s="1"/>
    </row>
    <row r="607" spans="1:20">
      <c r="A607">
        <v>3</v>
      </c>
      <c r="B607">
        <v>676869</v>
      </c>
      <c r="C607" t="s">
        <v>11</v>
      </c>
      <c r="D607" s="2">
        <v>690</v>
      </c>
      <c r="E607" s="1">
        <v>44136</v>
      </c>
      <c r="F607">
        <v>1</v>
      </c>
      <c r="G607">
        <v>11</v>
      </c>
      <c r="H607">
        <v>2020</v>
      </c>
      <c r="I607" s="5">
        <f>(Table32[[#This Row],[Revenue]]/Table32[[#This Row],[Units Sold]])</f>
        <v>1</v>
      </c>
      <c r="J607" s="5">
        <f>Table32[[#This Row],[revenue/unit]]-Table32[[#This Row],[Cost/unit]]</f>
        <v>0.5</v>
      </c>
      <c r="K607">
        <f>Table32[[#This Row],[Revenue]]-Table32[[#This Row],[Cost]]</f>
        <v>345</v>
      </c>
      <c r="L607" s="6">
        <f>Table32[[#This Row],[Net Profit]]/Table32[[#This Row],[Cost]]</f>
        <v>1</v>
      </c>
      <c r="M607">
        <v>690</v>
      </c>
      <c r="N607" s="7">
        <f>Table32[[#This Row],[Cost]]/Table32[[#This Row],[Units Sold]]</f>
        <v>0.5</v>
      </c>
      <c r="O607">
        <v>345</v>
      </c>
      <c r="T607" s="1"/>
    </row>
    <row r="608" spans="1:20">
      <c r="A608">
        <v>4</v>
      </c>
      <c r="B608">
        <v>454312</v>
      </c>
      <c r="C608" t="s">
        <v>11</v>
      </c>
      <c r="D608" s="2">
        <v>2342</v>
      </c>
      <c r="E608" s="1">
        <v>44136</v>
      </c>
      <c r="F608">
        <v>1</v>
      </c>
      <c r="G608">
        <v>11</v>
      </c>
      <c r="H608">
        <v>2020</v>
      </c>
      <c r="I608" s="5">
        <f>(Table32[[#This Row],[Revenue]]/Table32[[#This Row],[Units Sold]])</f>
        <v>1</v>
      </c>
      <c r="J608" s="5">
        <f>Table32[[#This Row],[revenue/unit]]-Table32[[#This Row],[Cost/unit]]</f>
        <v>0.5</v>
      </c>
      <c r="K608">
        <f>Table32[[#This Row],[Revenue]]-Table32[[#This Row],[Cost]]</f>
        <v>1171</v>
      </c>
      <c r="L608" s="6">
        <f>Table32[[#This Row],[Net Profit]]/Table32[[#This Row],[Cost]]</f>
        <v>1</v>
      </c>
      <c r="M608">
        <v>2342</v>
      </c>
      <c r="N608" s="7">
        <f>Table32[[#This Row],[Cost]]/Table32[[#This Row],[Units Sold]]</f>
        <v>0.5</v>
      </c>
      <c r="O608">
        <v>1171</v>
      </c>
      <c r="T608" s="1"/>
    </row>
    <row r="609" spans="1:20">
      <c r="A609">
        <v>5</v>
      </c>
      <c r="B609">
        <v>128675</v>
      </c>
      <c r="C609" t="s">
        <v>11</v>
      </c>
      <c r="D609" s="2">
        <v>2723</v>
      </c>
      <c r="E609" s="1">
        <v>44136</v>
      </c>
      <c r="F609">
        <v>1</v>
      </c>
      <c r="G609">
        <v>11</v>
      </c>
      <c r="H609">
        <v>2020</v>
      </c>
      <c r="I609" s="5">
        <f>(Table32[[#This Row],[Revenue]]/Table32[[#This Row],[Units Sold]])</f>
        <v>1</v>
      </c>
      <c r="J609" s="5">
        <f>Table32[[#This Row],[revenue/unit]]-Table32[[#This Row],[Cost/unit]]</f>
        <v>0.5</v>
      </c>
      <c r="K609">
        <f>Table32[[#This Row],[Revenue]]-Table32[[#This Row],[Cost]]</f>
        <v>1361.5</v>
      </c>
      <c r="L609" s="6">
        <f>Table32[[#This Row],[Net Profit]]/Table32[[#This Row],[Cost]]</f>
        <v>1</v>
      </c>
      <c r="M609">
        <v>2723</v>
      </c>
      <c r="N609" s="7">
        <f>Table32[[#This Row],[Cost]]/Table32[[#This Row],[Units Sold]]</f>
        <v>0.5</v>
      </c>
      <c r="O609">
        <v>1361.5</v>
      </c>
      <c r="T609" s="1"/>
    </row>
    <row r="610" spans="1:20">
      <c r="A610">
        <v>1</v>
      </c>
      <c r="B610">
        <v>818777</v>
      </c>
      <c r="C610" t="s">
        <v>11</v>
      </c>
      <c r="D610" s="2">
        <v>2342</v>
      </c>
      <c r="E610" s="1">
        <v>44136</v>
      </c>
      <c r="F610">
        <v>1</v>
      </c>
      <c r="G610">
        <v>11</v>
      </c>
      <c r="H610">
        <v>2020</v>
      </c>
      <c r="I610" s="5">
        <f>(Table32[[#This Row],[Revenue]]/Table32[[#This Row],[Units Sold]])</f>
        <v>1</v>
      </c>
      <c r="J610" s="5">
        <f>Table32[[#This Row],[revenue/unit]]-Table32[[#This Row],[Cost/unit]]</f>
        <v>0.5</v>
      </c>
      <c r="K610">
        <f>Table32[[#This Row],[Revenue]]-Table32[[#This Row],[Cost]]</f>
        <v>1171</v>
      </c>
      <c r="L610" s="6">
        <f>Table32[[#This Row],[Net Profit]]/Table32[[#This Row],[Cost]]</f>
        <v>1</v>
      </c>
      <c r="M610">
        <v>2342</v>
      </c>
      <c r="N610" s="7">
        <f>Table32[[#This Row],[Cost]]/Table32[[#This Row],[Units Sold]]</f>
        <v>0.5</v>
      </c>
      <c r="O610">
        <v>1171</v>
      </c>
      <c r="T610" s="1"/>
    </row>
    <row r="611" spans="1:20">
      <c r="A611">
        <v>4</v>
      </c>
      <c r="B611">
        <v>272243</v>
      </c>
      <c r="C611" t="s">
        <v>11</v>
      </c>
      <c r="D611" s="2">
        <v>2321</v>
      </c>
      <c r="E611" s="1">
        <v>44136</v>
      </c>
      <c r="F611">
        <v>1</v>
      </c>
      <c r="G611">
        <v>11</v>
      </c>
      <c r="H611">
        <v>2020</v>
      </c>
      <c r="I611" s="5">
        <f>(Table32[[#This Row],[Revenue]]/Table32[[#This Row],[Units Sold]])</f>
        <v>1</v>
      </c>
      <c r="J611" s="5">
        <f>Table32[[#This Row],[revenue/unit]]-Table32[[#This Row],[Cost/unit]]</f>
        <v>0.5</v>
      </c>
      <c r="K611">
        <f>Table32[[#This Row],[Revenue]]-Table32[[#This Row],[Cost]]</f>
        <v>1160.5</v>
      </c>
      <c r="L611" s="6">
        <f>Table32[[#This Row],[Net Profit]]/Table32[[#This Row],[Cost]]</f>
        <v>1</v>
      </c>
      <c r="M611">
        <v>2321</v>
      </c>
      <c r="N611" s="7">
        <f>Table32[[#This Row],[Cost]]/Table32[[#This Row],[Units Sold]]</f>
        <v>0.5</v>
      </c>
      <c r="O611">
        <v>1160.5</v>
      </c>
      <c r="T611" s="1"/>
    </row>
    <row r="612" spans="1:20">
      <c r="A612">
        <v>2</v>
      </c>
      <c r="B612">
        <v>734809</v>
      </c>
      <c r="C612" t="s">
        <v>12</v>
      </c>
      <c r="D612" s="2">
        <v>1236</v>
      </c>
      <c r="E612" s="1">
        <v>44136</v>
      </c>
      <c r="F612">
        <v>1</v>
      </c>
      <c r="G612">
        <v>11</v>
      </c>
      <c r="H612">
        <v>2020</v>
      </c>
      <c r="I612" s="5">
        <f>(Table32[[#This Row],[Revenue]]/Table32[[#This Row],[Units Sold]])</f>
        <v>5</v>
      </c>
      <c r="J612" s="5">
        <f>Table32[[#This Row],[revenue/unit]]-Table32[[#This Row],[Cost/unit]]</f>
        <v>2.8</v>
      </c>
      <c r="K612">
        <f>Table32[[#This Row],[Revenue]]-Table32[[#This Row],[Cost]]</f>
        <v>3460.7999999999997</v>
      </c>
      <c r="L612" s="6">
        <f>Table32[[#This Row],[Net Profit]]/Table32[[#This Row],[Cost]]</f>
        <v>1.2727272727272725</v>
      </c>
      <c r="M612">
        <v>6180</v>
      </c>
      <c r="N612" s="7">
        <f>Table32[[#This Row],[Cost]]/Table32[[#This Row],[Units Sold]]</f>
        <v>2.2000000000000002</v>
      </c>
      <c r="O612">
        <v>2719.2000000000003</v>
      </c>
      <c r="T612" s="1"/>
    </row>
    <row r="613" spans="1:20">
      <c r="A613">
        <v>2</v>
      </c>
      <c r="B613">
        <v>544809</v>
      </c>
      <c r="C613" t="s">
        <v>12</v>
      </c>
      <c r="D613" s="2">
        <v>941</v>
      </c>
      <c r="E613" s="1">
        <v>44136</v>
      </c>
      <c r="F613">
        <v>1</v>
      </c>
      <c r="G613">
        <v>11</v>
      </c>
      <c r="H613">
        <v>2020</v>
      </c>
      <c r="I613" s="5">
        <f>(Table32[[#This Row],[Revenue]]/Table32[[#This Row],[Units Sold]])</f>
        <v>5</v>
      </c>
      <c r="J613" s="5">
        <f>Table32[[#This Row],[revenue/unit]]-Table32[[#This Row],[Cost/unit]]</f>
        <v>2.8</v>
      </c>
      <c r="K613">
        <f>Table32[[#This Row],[Revenue]]-Table32[[#This Row],[Cost]]</f>
        <v>2634.7999999999997</v>
      </c>
      <c r="L613" s="6">
        <f>Table32[[#This Row],[Net Profit]]/Table32[[#This Row],[Cost]]</f>
        <v>1.2727272727272725</v>
      </c>
      <c r="M613">
        <v>4705</v>
      </c>
      <c r="N613" s="7">
        <f>Table32[[#This Row],[Cost]]/Table32[[#This Row],[Units Sold]]</f>
        <v>2.2000000000000002</v>
      </c>
      <c r="O613">
        <v>2070.2000000000003</v>
      </c>
      <c r="T613" s="1"/>
    </row>
    <row r="614" spans="1:20">
      <c r="A614">
        <v>2</v>
      </c>
      <c r="B614">
        <v>653226</v>
      </c>
      <c r="C614" t="s">
        <v>12</v>
      </c>
      <c r="D614" s="2">
        <v>1118</v>
      </c>
      <c r="E614" s="1">
        <v>44136</v>
      </c>
      <c r="F614">
        <v>1</v>
      </c>
      <c r="G614">
        <v>11</v>
      </c>
      <c r="H614">
        <v>2020</v>
      </c>
      <c r="I614" s="5">
        <f>(Table32[[#This Row],[Revenue]]/Table32[[#This Row],[Units Sold]])</f>
        <v>5</v>
      </c>
      <c r="J614" s="5">
        <f>Table32[[#This Row],[revenue/unit]]-Table32[[#This Row],[Cost/unit]]</f>
        <v>2.8</v>
      </c>
      <c r="K614">
        <f>Table32[[#This Row],[Revenue]]-Table32[[#This Row],[Cost]]</f>
        <v>3130.3999999999996</v>
      </c>
      <c r="L614" s="6">
        <f>Table32[[#This Row],[Net Profit]]/Table32[[#This Row],[Cost]]</f>
        <v>1.2727272727272725</v>
      </c>
      <c r="M614">
        <v>5590</v>
      </c>
      <c r="N614" s="7">
        <f>Table32[[#This Row],[Cost]]/Table32[[#This Row],[Units Sold]]</f>
        <v>2.2000000000000002</v>
      </c>
      <c r="O614">
        <v>2459.6000000000004</v>
      </c>
      <c r="T614" s="1"/>
    </row>
    <row r="615" spans="1:20">
      <c r="A615">
        <v>5</v>
      </c>
      <c r="B615">
        <v>872307</v>
      </c>
      <c r="C615" t="s">
        <v>12</v>
      </c>
      <c r="D615" s="2">
        <v>1520</v>
      </c>
      <c r="E615" s="1">
        <v>44136</v>
      </c>
      <c r="F615">
        <v>1</v>
      </c>
      <c r="G615">
        <v>11</v>
      </c>
      <c r="H615">
        <v>2020</v>
      </c>
      <c r="I615" s="5">
        <f>(Table32[[#This Row],[Revenue]]/Table32[[#This Row],[Units Sold]])</f>
        <v>5</v>
      </c>
      <c r="J615" s="5">
        <f>Table32[[#This Row],[revenue/unit]]-Table32[[#This Row],[Cost/unit]]</f>
        <v>2.8</v>
      </c>
      <c r="K615">
        <f>Table32[[#This Row],[Revenue]]-Table32[[#This Row],[Cost]]</f>
        <v>4256</v>
      </c>
      <c r="L615" s="6">
        <f>Table32[[#This Row],[Net Profit]]/Table32[[#This Row],[Cost]]</f>
        <v>1.2727272727272725</v>
      </c>
      <c r="M615">
        <v>7600</v>
      </c>
      <c r="N615" s="7">
        <f>Table32[[#This Row],[Cost]]/Table32[[#This Row],[Units Sold]]</f>
        <v>2.2000000000000002</v>
      </c>
      <c r="O615">
        <v>3344.0000000000005</v>
      </c>
      <c r="T615" s="1"/>
    </row>
    <row r="616" spans="1:20">
      <c r="A616">
        <v>3</v>
      </c>
      <c r="B616">
        <v>686661</v>
      </c>
      <c r="C616" t="s">
        <v>12</v>
      </c>
      <c r="D616" s="2">
        <v>1694</v>
      </c>
      <c r="E616" s="1">
        <v>44136</v>
      </c>
      <c r="F616">
        <v>1</v>
      </c>
      <c r="G616">
        <v>11</v>
      </c>
      <c r="H616">
        <v>2020</v>
      </c>
      <c r="I616" s="5">
        <f>(Table32[[#This Row],[Revenue]]/Table32[[#This Row],[Units Sold]])</f>
        <v>5</v>
      </c>
      <c r="J616" s="5">
        <f>Table32[[#This Row],[revenue/unit]]-Table32[[#This Row],[Cost/unit]]</f>
        <v>2.8</v>
      </c>
      <c r="K616">
        <f>Table32[[#This Row],[Revenue]]-Table32[[#This Row],[Cost]]</f>
        <v>4743.2</v>
      </c>
      <c r="L616" s="6">
        <f>Table32[[#This Row],[Net Profit]]/Table32[[#This Row],[Cost]]</f>
        <v>1.2727272727272727</v>
      </c>
      <c r="M616">
        <v>8470</v>
      </c>
      <c r="N616" s="7">
        <f>Table32[[#This Row],[Cost]]/Table32[[#This Row],[Units Sold]]</f>
        <v>2.2000000000000002</v>
      </c>
      <c r="O616">
        <v>3726.8</v>
      </c>
      <c r="T616" s="1"/>
    </row>
    <row r="617" spans="1:20">
      <c r="A617">
        <v>2</v>
      </c>
      <c r="B617">
        <v>812448</v>
      </c>
      <c r="C617" t="s">
        <v>13</v>
      </c>
      <c r="D617" s="2">
        <v>2791</v>
      </c>
      <c r="E617" s="1">
        <v>44136</v>
      </c>
      <c r="F617">
        <v>1</v>
      </c>
      <c r="G617">
        <v>11</v>
      </c>
      <c r="H617">
        <v>2020</v>
      </c>
      <c r="I617" s="5">
        <f>(Table32[[#This Row],[Revenue]]/Table32[[#This Row],[Units Sold]])</f>
        <v>4</v>
      </c>
      <c r="J617" s="5">
        <f>Table32[[#This Row],[revenue/unit]]-Table32[[#This Row],[Cost/unit]]</f>
        <v>2.5</v>
      </c>
      <c r="K617">
        <f>Table32[[#This Row],[Revenue]]-Table32[[#This Row],[Cost]]</f>
        <v>6977.5</v>
      </c>
      <c r="L617" s="6">
        <f>Table32[[#This Row],[Net Profit]]/Table32[[#This Row],[Cost]]</f>
        <v>1.6666666666666667</v>
      </c>
      <c r="M617">
        <v>11164</v>
      </c>
      <c r="N617" s="7">
        <f>Table32[[#This Row],[Cost]]/Table32[[#This Row],[Units Sold]]</f>
        <v>1.5</v>
      </c>
      <c r="O617">
        <v>4186.5</v>
      </c>
      <c r="T617" s="1"/>
    </row>
    <row r="618" spans="1:20">
      <c r="A618">
        <v>4</v>
      </c>
      <c r="B618">
        <v>768268</v>
      </c>
      <c r="C618" t="s">
        <v>13</v>
      </c>
      <c r="D618" s="2">
        <v>2030</v>
      </c>
      <c r="E618" s="1">
        <v>44136</v>
      </c>
      <c r="F618">
        <v>1</v>
      </c>
      <c r="G618">
        <v>11</v>
      </c>
      <c r="H618">
        <v>2020</v>
      </c>
      <c r="I618" s="5">
        <f>(Table32[[#This Row],[Revenue]]/Table32[[#This Row],[Units Sold]])</f>
        <v>4</v>
      </c>
      <c r="J618" s="5">
        <f>Table32[[#This Row],[revenue/unit]]-Table32[[#This Row],[Cost/unit]]</f>
        <v>2.5</v>
      </c>
      <c r="K618">
        <f>Table32[[#This Row],[Revenue]]-Table32[[#This Row],[Cost]]</f>
        <v>5075</v>
      </c>
      <c r="L618" s="6">
        <f>Table32[[#This Row],[Net Profit]]/Table32[[#This Row],[Cost]]</f>
        <v>1.6666666666666667</v>
      </c>
      <c r="M618">
        <v>8120</v>
      </c>
      <c r="N618" s="7">
        <f>Table32[[#This Row],[Cost]]/Table32[[#This Row],[Units Sold]]</f>
        <v>1.5</v>
      </c>
      <c r="O618">
        <v>3045</v>
      </c>
      <c r="T618" s="1"/>
    </row>
    <row r="619" spans="1:20">
      <c r="A619">
        <v>2</v>
      </c>
      <c r="B619">
        <v>297812</v>
      </c>
      <c r="C619" t="s">
        <v>13</v>
      </c>
      <c r="D619" s="2">
        <v>490</v>
      </c>
      <c r="E619" s="1">
        <v>44136</v>
      </c>
      <c r="F619">
        <v>1</v>
      </c>
      <c r="G619">
        <v>11</v>
      </c>
      <c r="H619">
        <v>2020</v>
      </c>
      <c r="I619" s="5">
        <f>(Table32[[#This Row],[Revenue]]/Table32[[#This Row],[Units Sold]])</f>
        <v>4</v>
      </c>
      <c r="J619" s="5">
        <f>Table32[[#This Row],[revenue/unit]]-Table32[[#This Row],[Cost/unit]]</f>
        <v>2.5</v>
      </c>
      <c r="K619">
        <f>Table32[[#This Row],[Revenue]]-Table32[[#This Row],[Cost]]</f>
        <v>1225</v>
      </c>
      <c r="L619" s="6">
        <f>Table32[[#This Row],[Net Profit]]/Table32[[#This Row],[Cost]]</f>
        <v>1.6666666666666667</v>
      </c>
      <c r="M619">
        <v>1960</v>
      </c>
      <c r="N619" s="7">
        <f>Table32[[#This Row],[Cost]]/Table32[[#This Row],[Units Sold]]</f>
        <v>1.5</v>
      </c>
      <c r="O619">
        <v>735</v>
      </c>
      <c r="T619" s="1"/>
    </row>
    <row r="620" spans="1:20">
      <c r="A620">
        <v>1</v>
      </c>
      <c r="B620">
        <v>483789</v>
      </c>
      <c r="C620" t="s">
        <v>13</v>
      </c>
      <c r="D620" s="2">
        <v>2689</v>
      </c>
      <c r="E620" s="1">
        <v>44136</v>
      </c>
      <c r="F620">
        <v>1</v>
      </c>
      <c r="G620">
        <v>11</v>
      </c>
      <c r="H620">
        <v>2020</v>
      </c>
      <c r="I620" s="5">
        <f>(Table32[[#This Row],[Revenue]]/Table32[[#This Row],[Units Sold]])</f>
        <v>4</v>
      </c>
      <c r="J620" s="5">
        <f>Table32[[#This Row],[revenue/unit]]-Table32[[#This Row],[Cost/unit]]</f>
        <v>2.5</v>
      </c>
      <c r="K620">
        <f>Table32[[#This Row],[Revenue]]-Table32[[#This Row],[Cost]]</f>
        <v>6722.5</v>
      </c>
      <c r="L620" s="6">
        <f>Table32[[#This Row],[Net Profit]]/Table32[[#This Row],[Cost]]</f>
        <v>1.6666666666666667</v>
      </c>
      <c r="M620">
        <v>10756</v>
      </c>
      <c r="N620" s="7">
        <f>Table32[[#This Row],[Cost]]/Table32[[#This Row],[Units Sold]]</f>
        <v>1.5</v>
      </c>
      <c r="O620">
        <v>4033.5</v>
      </c>
      <c r="T620" s="1"/>
    </row>
    <row r="621" spans="1:20">
      <c r="A621">
        <v>3</v>
      </c>
      <c r="B621">
        <v>199710</v>
      </c>
      <c r="C621" t="s">
        <v>13</v>
      </c>
      <c r="D621" s="2">
        <v>1513</v>
      </c>
      <c r="E621" s="1">
        <v>44136</v>
      </c>
      <c r="F621">
        <v>1</v>
      </c>
      <c r="G621">
        <v>11</v>
      </c>
      <c r="H621">
        <v>2020</v>
      </c>
      <c r="I621" s="5">
        <f>(Table32[[#This Row],[Revenue]]/Table32[[#This Row],[Units Sold]])</f>
        <v>4</v>
      </c>
      <c r="J621" s="5">
        <f>Table32[[#This Row],[revenue/unit]]-Table32[[#This Row],[Cost/unit]]</f>
        <v>2.5</v>
      </c>
      <c r="K621">
        <f>Table32[[#This Row],[Revenue]]-Table32[[#This Row],[Cost]]</f>
        <v>3782.5</v>
      </c>
      <c r="L621" s="6">
        <f>Table32[[#This Row],[Net Profit]]/Table32[[#This Row],[Cost]]</f>
        <v>1.6666666666666667</v>
      </c>
      <c r="M621">
        <v>6052</v>
      </c>
      <c r="N621" s="7">
        <f>Table32[[#This Row],[Cost]]/Table32[[#This Row],[Units Sold]]</f>
        <v>1.5</v>
      </c>
      <c r="O621">
        <v>2269.5</v>
      </c>
      <c r="T621" s="1"/>
    </row>
    <row r="622" spans="1:20">
      <c r="A622">
        <v>5</v>
      </c>
      <c r="B622">
        <v>275167</v>
      </c>
      <c r="C622" t="s">
        <v>14</v>
      </c>
      <c r="D622" s="2">
        <v>1744</v>
      </c>
      <c r="E622" s="1">
        <v>44136</v>
      </c>
      <c r="F622">
        <v>1</v>
      </c>
      <c r="G622">
        <v>11</v>
      </c>
      <c r="H622">
        <v>2020</v>
      </c>
      <c r="I622" s="5">
        <f>(Table32[[#This Row],[Revenue]]/Table32[[#This Row],[Units Sold]])</f>
        <v>3</v>
      </c>
      <c r="J622" s="5">
        <f>Table32[[#This Row],[revenue/unit]]-Table32[[#This Row],[Cost/unit]]</f>
        <v>1.75</v>
      </c>
      <c r="K622">
        <f>Table32[[#This Row],[Revenue]]-Table32[[#This Row],[Cost]]</f>
        <v>3052</v>
      </c>
      <c r="L622" s="6">
        <f>Table32[[#This Row],[Net Profit]]/Table32[[#This Row],[Cost]]</f>
        <v>1.4</v>
      </c>
      <c r="M622">
        <v>5232</v>
      </c>
      <c r="N622" s="7">
        <f>Table32[[#This Row],[Cost]]/Table32[[#This Row],[Units Sold]]</f>
        <v>1.25</v>
      </c>
      <c r="O622">
        <v>2180</v>
      </c>
      <c r="T622" s="1"/>
    </row>
    <row r="623" spans="1:20">
      <c r="A623">
        <v>3</v>
      </c>
      <c r="B623">
        <v>867837</v>
      </c>
      <c r="C623" t="s">
        <v>14</v>
      </c>
      <c r="D623" s="2">
        <v>877</v>
      </c>
      <c r="E623" s="1">
        <v>44136</v>
      </c>
      <c r="F623">
        <v>1</v>
      </c>
      <c r="G623">
        <v>11</v>
      </c>
      <c r="H623">
        <v>2020</v>
      </c>
      <c r="I623" s="5">
        <f>(Table32[[#This Row],[Revenue]]/Table32[[#This Row],[Units Sold]])</f>
        <v>3</v>
      </c>
      <c r="J623" s="5">
        <f>Table32[[#This Row],[revenue/unit]]-Table32[[#This Row],[Cost/unit]]</f>
        <v>1.75</v>
      </c>
      <c r="K623">
        <f>Table32[[#This Row],[Revenue]]-Table32[[#This Row],[Cost]]</f>
        <v>1534.75</v>
      </c>
      <c r="L623" s="6">
        <f>Table32[[#This Row],[Net Profit]]/Table32[[#This Row],[Cost]]</f>
        <v>1.4</v>
      </c>
      <c r="M623">
        <v>2631</v>
      </c>
      <c r="N623" s="7">
        <f>Table32[[#This Row],[Cost]]/Table32[[#This Row],[Units Sold]]</f>
        <v>1.25</v>
      </c>
      <c r="O623">
        <v>1096.25</v>
      </c>
      <c r="T623" s="1"/>
    </row>
    <row r="624" spans="1:20">
      <c r="A624">
        <v>2</v>
      </c>
      <c r="B624">
        <v>820943</v>
      </c>
      <c r="C624" t="s">
        <v>14</v>
      </c>
      <c r="D624" s="2">
        <v>2529</v>
      </c>
      <c r="E624" s="1">
        <v>44136</v>
      </c>
      <c r="F624">
        <v>1</v>
      </c>
      <c r="G624">
        <v>11</v>
      </c>
      <c r="H624">
        <v>2020</v>
      </c>
      <c r="I624" s="5">
        <f>(Table32[[#This Row],[Revenue]]/Table32[[#This Row],[Units Sold]])</f>
        <v>3</v>
      </c>
      <c r="J624" s="5">
        <f>Table32[[#This Row],[revenue/unit]]-Table32[[#This Row],[Cost/unit]]</f>
        <v>1.75</v>
      </c>
      <c r="K624">
        <f>Table32[[#This Row],[Revenue]]-Table32[[#This Row],[Cost]]</f>
        <v>4425.75</v>
      </c>
      <c r="L624" s="6">
        <f>Table32[[#This Row],[Net Profit]]/Table32[[#This Row],[Cost]]</f>
        <v>1.4</v>
      </c>
      <c r="M624">
        <v>7587</v>
      </c>
      <c r="N624" s="7">
        <f>Table32[[#This Row],[Cost]]/Table32[[#This Row],[Units Sold]]</f>
        <v>1.25</v>
      </c>
      <c r="O624">
        <v>3161.25</v>
      </c>
      <c r="T624" s="1"/>
    </row>
    <row r="625" spans="1:20">
      <c r="A625">
        <v>2</v>
      </c>
      <c r="B625">
        <v>601126</v>
      </c>
      <c r="C625" t="s">
        <v>14</v>
      </c>
      <c r="D625" s="2">
        <v>2387</v>
      </c>
      <c r="E625" s="1">
        <v>44136</v>
      </c>
      <c r="F625">
        <v>1</v>
      </c>
      <c r="G625">
        <v>11</v>
      </c>
      <c r="H625">
        <v>2020</v>
      </c>
      <c r="I625" s="5">
        <f>(Table32[[#This Row],[Revenue]]/Table32[[#This Row],[Units Sold]])</f>
        <v>3</v>
      </c>
      <c r="J625" s="5">
        <f>Table32[[#This Row],[revenue/unit]]-Table32[[#This Row],[Cost/unit]]</f>
        <v>1.75</v>
      </c>
      <c r="K625">
        <f>Table32[[#This Row],[Revenue]]-Table32[[#This Row],[Cost]]</f>
        <v>4177.25</v>
      </c>
      <c r="L625" s="6">
        <f>Table32[[#This Row],[Net Profit]]/Table32[[#This Row],[Cost]]</f>
        <v>1.4</v>
      </c>
      <c r="M625">
        <v>7161</v>
      </c>
      <c r="N625" s="7">
        <f>Table32[[#This Row],[Cost]]/Table32[[#This Row],[Units Sold]]</f>
        <v>1.25</v>
      </c>
      <c r="O625">
        <v>2983.75</v>
      </c>
      <c r="T625" s="1"/>
    </row>
    <row r="626" spans="1:20">
      <c r="A626">
        <v>4</v>
      </c>
      <c r="B626">
        <v>483216</v>
      </c>
      <c r="C626" t="s">
        <v>14</v>
      </c>
      <c r="D626" s="2">
        <v>552</v>
      </c>
      <c r="E626" s="1">
        <v>44136</v>
      </c>
      <c r="F626">
        <v>1</v>
      </c>
      <c r="G626">
        <v>11</v>
      </c>
      <c r="H626">
        <v>2020</v>
      </c>
      <c r="I626" s="5">
        <f>(Table32[[#This Row],[Revenue]]/Table32[[#This Row],[Units Sold]])</f>
        <v>3</v>
      </c>
      <c r="J626" s="5">
        <f>Table32[[#This Row],[revenue/unit]]-Table32[[#This Row],[Cost/unit]]</f>
        <v>1.75</v>
      </c>
      <c r="K626">
        <f>Table32[[#This Row],[Revenue]]-Table32[[#This Row],[Cost]]</f>
        <v>966</v>
      </c>
      <c r="L626" s="6">
        <f>Table32[[#This Row],[Net Profit]]/Table32[[#This Row],[Cost]]</f>
        <v>1.4</v>
      </c>
      <c r="M626">
        <v>1656</v>
      </c>
      <c r="N626" s="7">
        <f>Table32[[#This Row],[Cost]]/Table32[[#This Row],[Units Sold]]</f>
        <v>1.25</v>
      </c>
      <c r="O626">
        <v>690</v>
      </c>
      <c r="T626" s="1"/>
    </row>
    <row r="627" spans="1:20">
      <c r="A627">
        <v>3</v>
      </c>
      <c r="B627">
        <v>584477</v>
      </c>
      <c r="C627" t="s">
        <v>15</v>
      </c>
      <c r="D627" s="2">
        <v>639</v>
      </c>
      <c r="E627" s="1">
        <v>44136</v>
      </c>
      <c r="F627">
        <v>1</v>
      </c>
      <c r="G627">
        <v>11</v>
      </c>
      <c r="H627">
        <v>2020</v>
      </c>
      <c r="I627" s="5">
        <f>(Table32[[#This Row],[Revenue]]/Table32[[#This Row],[Units Sold]])</f>
        <v>6</v>
      </c>
      <c r="J627" s="5">
        <f>Table32[[#This Row],[revenue/unit]]-Table32[[#This Row],[Cost/unit]]</f>
        <v>3.25</v>
      </c>
      <c r="K627">
        <f>Table32[[#This Row],[Revenue]]-Table32[[#This Row],[Cost]]</f>
        <v>2076.75</v>
      </c>
      <c r="L627" s="6">
        <f>Table32[[#This Row],[Net Profit]]/Table32[[#This Row],[Cost]]</f>
        <v>1.1818181818181819</v>
      </c>
      <c r="M627">
        <v>3834</v>
      </c>
      <c r="N627" s="7">
        <f>Table32[[#This Row],[Cost]]/Table32[[#This Row],[Units Sold]]</f>
        <v>2.75</v>
      </c>
      <c r="O627">
        <v>1757.25</v>
      </c>
      <c r="T627" s="1"/>
    </row>
    <row r="628" spans="1:20">
      <c r="A628">
        <v>3</v>
      </c>
      <c r="B628">
        <v>169621</v>
      </c>
      <c r="C628" t="s">
        <v>15</v>
      </c>
      <c r="D628" s="2">
        <v>1333</v>
      </c>
      <c r="E628" s="1">
        <v>44136</v>
      </c>
      <c r="F628">
        <v>1</v>
      </c>
      <c r="G628">
        <v>11</v>
      </c>
      <c r="H628">
        <v>2020</v>
      </c>
      <c r="I628" s="5">
        <f>(Table32[[#This Row],[Revenue]]/Table32[[#This Row],[Units Sold]])</f>
        <v>6</v>
      </c>
      <c r="J628" s="5">
        <f>Table32[[#This Row],[revenue/unit]]-Table32[[#This Row],[Cost/unit]]</f>
        <v>3.25</v>
      </c>
      <c r="K628">
        <f>Table32[[#This Row],[Revenue]]-Table32[[#This Row],[Cost]]</f>
        <v>4332.25</v>
      </c>
      <c r="L628" s="6">
        <f>Table32[[#This Row],[Net Profit]]/Table32[[#This Row],[Cost]]</f>
        <v>1.1818181818181819</v>
      </c>
      <c r="M628">
        <v>7998</v>
      </c>
      <c r="N628" s="7">
        <f>Table32[[#This Row],[Cost]]/Table32[[#This Row],[Units Sold]]</f>
        <v>2.75</v>
      </c>
      <c r="O628">
        <v>3665.75</v>
      </c>
      <c r="T628" s="1"/>
    </row>
    <row r="629" spans="1:20">
      <c r="A629">
        <v>3</v>
      </c>
      <c r="B629">
        <v>433084</v>
      </c>
      <c r="C629" t="s">
        <v>15</v>
      </c>
      <c r="D629" s="2">
        <v>547</v>
      </c>
      <c r="E629" s="1">
        <v>44136</v>
      </c>
      <c r="F629">
        <v>1</v>
      </c>
      <c r="G629">
        <v>11</v>
      </c>
      <c r="H629">
        <v>2020</v>
      </c>
      <c r="I629" s="5">
        <f>(Table32[[#This Row],[Revenue]]/Table32[[#This Row],[Units Sold]])</f>
        <v>6</v>
      </c>
      <c r="J629" s="5">
        <f>Table32[[#This Row],[revenue/unit]]-Table32[[#This Row],[Cost/unit]]</f>
        <v>3.25</v>
      </c>
      <c r="K629">
        <f>Table32[[#This Row],[Revenue]]-Table32[[#This Row],[Cost]]</f>
        <v>1777.75</v>
      </c>
      <c r="L629" s="6">
        <f>Table32[[#This Row],[Net Profit]]/Table32[[#This Row],[Cost]]</f>
        <v>1.1818181818181819</v>
      </c>
      <c r="M629">
        <v>3282</v>
      </c>
      <c r="N629" s="7">
        <f>Table32[[#This Row],[Cost]]/Table32[[#This Row],[Units Sold]]</f>
        <v>2.75</v>
      </c>
      <c r="O629">
        <v>1504.25</v>
      </c>
      <c r="T629" s="1"/>
    </row>
    <row r="630" spans="1:20">
      <c r="A630">
        <v>4</v>
      </c>
      <c r="B630">
        <v>632477</v>
      </c>
      <c r="C630" t="s">
        <v>15</v>
      </c>
      <c r="D630" s="2">
        <v>2665</v>
      </c>
      <c r="E630" s="1">
        <v>44136</v>
      </c>
      <c r="F630">
        <v>1</v>
      </c>
      <c r="G630">
        <v>11</v>
      </c>
      <c r="H630">
        <v>2020</v>
      </c>
      <c r="I630" s="5">
        <f>(Table32[[#This Row],[Revenue]]/Table32[[#This Row],[Units Sold]])</f>
        <v>6</v>
      </c>
      <c r="J630" s="5">
        <f>Table32[[#This Row],[revenue/unit]]-Table32[[#This Row],[Cost/unit]]</f>
        <v>3.25</v>
      </c>
      <c r="K630">
        <f>Table32[[#This Row],[Revenue]]-Table32[[#This Row],[Cost]]</f>
        <v>8661.25</v>
      </c>
      <c r="L630" s="6">
        <f>Table32[[#This Row],[Net Profit]]/Table32[[#This Row],[Cost]]</f>
        <v>1.1818181818181819</v>
      </c>
      <c r="M630">
        <v>15990</v>
      </c>
      <c r="N630" s="7">
        <f>Table32[[#This Row],[Cost]]/Table32[[#This Row],[Units Sold]]</f>
        <v>2.75</v>
      </c>
      <c r="O630">
        <v>7328.75</v>
      </c>
      <c r="T630" s="1"/>
    </row>
    <row r="631" spans="1:20">
      <c r="A631">
        <v>2</v>
      </c>
      <c r="B631">
        <v>356550</v>
      </c>
      <c r="C631" t="s">
        <v>15</v>
      </c>
      <c r="D631" s="2">
        <v>1808</v>
      </c>
      <c r="E631" s="1">
        <v>44136</v>
      </c>
      <c r="F631">
        <v>1</v>
      </c>
      <c r="G631">
        <v>11</v>
      </c>
      <c r="H631">
        <v>2020</v>
      </c>
      <c r="I631" s="5">
        <f>(Table32[[#This Row],[Revenue]]/Table32[[#This Row],[Units Sold]])</f>
        <v>6</v>
      </c>
      <c r="J631" s="5">
        <f>Table32[[#This Row],[revenue/unit]]-Table32[[#This Row],[Cost/unit]]</f>
        <v>3.25</v>
      </c>
      <c r="K631">
        <f>Table32[[#This Row],[Revenue]]-Table32[[#This Row],[Cost]]</f>
        <v>5876</v>
      </c>
      <c r="L631" s="6">
        <f>Table32[[#This Row],[Net Profit]]/Table32[[#This Row],[Cost]]</f>
        <v>1.1818181818181819</v>
      </c>
      <c r="M631">
        <v>10848</v>
      </c>
      <c r="N631" s="7">
        <f>Table32[[#This Row],[Cost]]/Table32[[#This Row],[Units Sold]]</f>
        <v>2.75</v>
      </c>
      <c r="O631">
        <v>4972</v>
      </c>
      <c r="T631" s="1"/>
    </row>
    <row r="632" spans="1:20">
      <c r="A632">
        <v>4</v>
      </c>
      <c r="B632">
        <v>481875</v>
      </c>
      <c r="C632" t="s">
        <v>10</v>
      </c>
      <c r="D632" s="2">
        <v>1817</v>
      </c>
      <c r="E632" s="1">
        <v>44166</v>
      </c>
      <c r="F632">
        <v>1</v>
      </c>
      <c r="G632">
        <v>12</v>
      </c>
      <c r="H632">
        <v>2020</v>
      </c>
      <c r="I632" s="5">
        <f>(Table32[[#This Row],[Revenue]]/Table32[[#This Row],[Units Sold]])</f>
        <v>5</v>
      </c>
      <c r="J632" s="5">
        <f>Table32[[#This Row],[revenue/unit]]-Table32[[#This Row],[Cost/unit]]</f>
        <v>3</v>
      </c>
      <c r="K632">
        <f>Table32[[#This Row],[Revenue]]-Table32[[#This Row],[Cost]]</f>
        <v>5451</v>
      </c>
      <c r="L632" s="6">
        <f>Table32[[#This Row],[Net Profit]]/Table32[[#This Row],[Cost]]</f>
        <v>1.5</v>
      </c>
      <c r="M632">
        <v>9085</v>
      </c>
      <c r="N632" s="7">
        <f>Table32[[#This Row],[Cost]]/Table32[[#This Row],[Units Sold]]</f>
        <v>2</v>
      </c>
      <c r="O632">
        <v>3634</v>
      </c>
      <c r="T632" s="1"/>
    </row>
    <row r="633" spans="1:20">
      <c r="A633">
        <v>3</v>
      </c>
      <c r="B633">
        <v>183251</v>
      </c>
      <c r="C633" t="s">
        <v>10</v>
      </c>
      <c r="D633" s="2">
        <v>1513</v>
      </c>
      <c r="E633" s="1">
        <v>44166</v>
      </c>
      <c r="F633">
        <v>1</v>
      </c>
      <c r="G633">
        <v>12</v>
      </c>
      <c r="H633">
        <v>2020</v>
      </c>
      <c r="I633" s="5">
        <f>(Table32[[#This Row],[Revenue]]/Table32[[#This Row],[Units Sold]])</f>
        <v>5</v>
      </c>
      <c r="J633" s="5">
        <f>Table32[[#This Row],[revenue/unit]]-Table32[[#This Row],[Cost/unit]]</f>
        <v>3</v>
      </c>
      <c r="K633">
        <f>Table32[[#This Row],[Revenue]]-Table32[[#This Row],[Cost]]</f>
        <v>4539</v>
      </c>
      <c r="L633" s="6">
        <f>Table32[[#This Row],[Net Profit]]/Table32[[#This Row],[Cost]]</f>
        <v>1.5</v>
      </c>
      <c r="M633">
        <v>7565</v>
      </c>
      <c r="N633" s="7">
        <f>Table32[[#This Row],[Cost]]/Table32[[#This Row],[Units Sold]]</f>
        <v>2</v>
      </c>
      <c r="O633">
        <v>3026</v>
      </c>
      <c r="T633" s="1"/>
    </row>
    <row r="634" spans="1:20">
      <c r="A634">
        <v>1</v>
      </c>
      <c r="B634">
        <v>481324</v>
      </c>
      <c r="C634" t="s">
        <v>10</v>
      </c>
      <c r="D634" s="2">
        <v>2155</v>
      </c>
      <c r="E634" s="1">
        <v>44166</v>
      </c>
      <c r="F634">
        <v>1</v>
      </c>
      <c r="G634">
        <v>12</v>
      </c>
      <c r="H634">
        <v>2020</v>
      </c>
      <c r="I634" s="5">
        <f>(Table32[[#This Row],[Revenue]]/Table32[[#This Row],[Units Sold]])</f>
        <v>5</v>
      </c>
      <c r="J634" s="5">
        <f>Table32[[#This Row],[revenue/unit]]-Table32[[#This Row],[Cost/unit]]</f>
        <v>3</v>
      </c>
      <c r="K634">
        <f>Table32[[#This Row],[Revenue]]-Table32[[#This Row],[Cost]]</f>
        <v>6465</v>
      </c>
      <c r="L634" s="6">
        <f>Table32[[#This Row],[Net Profit]]/Table32[[#This Row],[Cost]]</f>
        <v>1.5</v>
      </c>
      <c r="M634">
        <v>10775</v>
      </c>
      <c r="N634" s="7">
        <f>Table32[[#This Row],[Cost]]/Table32[[#This Row],[Units Sold]]</f>
        <v>2</v>
      </c>
      <c r="O634">
        <v>4310</v>
      </c>
      <c r="T634" s="1"/>
    </row>
    <row r="635" spans="1:20">
      <c r="A635">
        <v>5</v>
      </c>
      <c r="B635">
        <v>778039</v>
      </c>
      <c r="C635" t="s">
        <v>10</v>
      </c>
      <c r="D635" s="2">
        <v>1916</v>
      </c>
      <c r="E635" s="1">
        <v>44166</v>
      </c>
      <c r="F635">
        <v>1</v>
      </c>
      <c r="G635">
        <v>12</v>
      </c>
      <c r="H635">
        <v>2020</v>
      </c>
      <c r="I635" s="5">
        <f>(Table32[[#This Row],[Revenue]]/Table32[[#This Row],[Units Sold]])</f>
        <v>5</v>
      </c>
      <c r="J635" s="5">
        <f>Table32[[#This Row],[revenue/unit]]-Table32[[#This Row],[Cost/unit]]</f>
        <v>3</v>
      </c>
      <c r="K635">
        <f>Table32[[#This Row],[Revenue]]-Table32[[#This Row],[Cost]]</f>
        <v>5748</v>
      </c>
      <c r="L635" s="6">
        <f>Table32[[#This Row],[Net Profit]]/Table32[[#This Row],[Cost]]</f>
        <v>1.5</v>
      </c>
      <c r="M635">
        <v>9580</v>
      </c>
      <c r="N635" s="7">
        <f>Table32[[#This Row],[Cost]]/Table32[[#This Row],[Units Sold]]</f>
        <v>2</v>
      </c>
      <c r="O635">
        <v>3832</v>
      </c>
      <c r="T635" s="1"/>
    </row>
    <row r="636" spans="1:20">
      <c r="A636">
        <v>5</v>
      </c>
      <c r="B636">
        <v>177011</v>
      </c>
      <c r="C636" t="s">
        <v>10</v>
      </c>
      <c r="D636" s="2">
        <v>2852</v>
      </c>
      <c r="E636" s="1">
        <v>44166</v>
      </c>
      <c r="F636">
        <v>1</v>
      </c>
      <c r="G636">
        <v>12</v>
      </c>
      <c r="H636">
        <v>2020</v>
      </c>
      <c r="I636" s="5">
        <f>(Table32[[#This Row],[Revenue]]/Table32[[#This Row],[Units Sold]])</f>
        <v>5</v>
      </c>
      <c r="J636" s="5">
        <f>Table32[[#This Row],[revenue/unit]]-Table32[[#This Row],[Cost/unit]]</f>
        <v>3</v>
      </c>
      <c r="K636">
        <f>Table32[[#This Row],[Revenue]]-Table32[[#This Row],[Cost]]</f>
        <v>8556</v>
      </c>
      <c r="L636" s="6">
        <f>Table32[[#This Row],[Net Profit]]/Table32[[#This Row],[Cost]]</f>
        <v>1.5</v>
      </c>
      <c r="M636">
        <v>14260</v>
      </c>
      <c r="N636" s="7">
        <f>Table32[[#This Row],[Cost]]/Table32[[#This Row],[Units Sold]]</f>
        <v>2</v>
      </c>
      <c r="O636">
        <v>5704</v>
      </c>
      <c r="T636" s="1"/>
    </row>
    <row r="637" spans="1:20">
      <c r="A637">
        <v>2</v>
      </c>
      <c r="B637">
        <v>306694</v>
      </c>
      <c r="C637" t="s">
        <v>10</v>
      </c>
      <c r="D637" s="2">
        <v>2729</v>
      </c>
      <c r="E637" s="1">
        <v>44166</v>
      </c>
      <c r="F637">
        <v>1</v>
      </c>
      <c r="G637">
        <v>12</v>
      </c>
      <c r="H637">
        <v>2020</v>
      </c>
      <c r="I637" s="5">
        <f>(Table32[[#This Row],[Revenue]]/Table32[[#This Row],[Units Sold]])</f>
        <v>5</v>
      </c>
      <c r="J637" s="5">
        <f>Table32[[#This Row],[revenue/unit]]-Table32[[#This Row],[Cost/unit]]</f>
        <v>3</v>
      </c>
      <c r="K637">
        <f>Table32[[#This Row],[Revenue]]-Table32[[#This Row],[Cost]]</f>
        <v>8187</v>
      </c>
      <c r="L637" s="6">
        <f>Table32[[#This Row],[Net Profit]]/Table32[[#This Row],[Cost]]</f>
        <v>1.5</v>
      </c>
      <c r="M637">
        <v>13645</v>
      </c>
      <c r="N637" s="7">
        <f>Table32[[#This Row],[Cost]]/Table32[[#This Row],[Units Sold]]</f>
        <v>2</v>
      </c>
      <c r="O637">
        <v>5458</v>
      </c>
      <c r="T637" s="1"/>
    </row>
    <row r="638" spans="1:20">
      <c r="A638">
        <v>5</v>
      </c>
      <c r="B638">
        <v>531834</v>
      </c>
      <c r="C638" t="s">
        <v>10</v>
      </c>
      <c r="D638" s="2">
        <v>1055</v>
      </c>
      <c r="E638" s="1">
        <v>44166</v>
      </c>
      <c r="F638">
        <v>1</v>
      </c>
      <c r="G638">
        <v>12</v>
      </c>
      <c r="H638">
        <v>2020</v>
      </c>
      <c r="I638" s="5">
        <f>(Table32[[#This Row],[Revenue]]/Table32[[#This Row],[Units Sold]])</f>
        <v>5</v>
      </c>
      <c r="J638" s="5">
        <f>Table32[[#This Row],[revenue/unit]]-Table32[[#This Row],[Cost/unit]]</f>
        <v>3</v>
      </c>
      <c r="K638">
        <f>Table32[[#This Row],[Revenue]]-Table32[[#This Row],[Cost]]</f>
        <v>3165</v>
      </c>
      <c r="L638" s="6">
        <f>Table32[[#This Row],[Net Profit]]/Table32[[#This Row],[Cost]]</f>
        <v>1.5</v>
      </c>
      <c r="M638">
        <v>5275</v>
      </c>
      <c r="N638" s="7">
        <f>Table32[[#This Row],[Cost]]/Table32[[#This Row],[Units Sold]]</f>
        <v>2</v>
      </c>
      <c r="O638">
        <v>2110</v>
      </c>
      <c r="T638" s="1"/>
    </row>
    <row r="639" spans="1:20">
      <c r="A639">
        <v>3</v>
      </c>
      <c r="B639">
        <v>300303</v>
      </c>
      <c r="C639" t="s">
        <v>10</v>
      </c>
      <c r="D639" s="2">
        <v>1084</v>
      </c>
      <c r="E639" s="1">
        <v>44166</v>
      </c>
      <c r="F639">
        <v>1</v>
      </c>
      <c r="G639">
        <v>12</v>
      </c>
      <c r="H639">
        <v>2020</v>
      </c>
      <c r="I639" s="5">
        <f>(Table32[[#This Row],[Revenue]]/Table32[[#This Row],[Units Sold]])</f>
        <v>5</v>
      </c>
      <c r="J639" s="5">
        <f>Table32[[#This Row],[revenue/unit]]-Table32[[#This Row],[Cost/unit]]</f>
        <v>3</v>
      </c>
      <c r="K639">
        <f>Table32[[#This Row],[Revenue]]-Table32[[#This Row],[Cost]]</f>
        <v>3252</v>
      </c>
      <c r="L639" s="6">
        <f>Table32[[#This Row],[Net Profit]]/Table32[[#This Row],[Cost]]</f>
        <v>1.5</v>
      </c>
      <c r="M639">
        <v>5420</v>
      </c>
      <c r="N639" s="7">
        <f>Table32[[#This Row],[Cost]]/Table32[[#This Row],[Units Sold]]</f>
        <v>2</v>
      </c>
      <c r="O639">
        <v>2168</v>
      </c>
      <c r="T639" s="1"/>
    </row>
    <row r="640" spans="1:20">
      <c r="A640">
        <v>2</v>
      </c>
      <c r="B640">
        <v>455780</v>
      </c>
      <c r="C640" t="s">
        <v>10</v>
      </c>
      <c r="D640" s="2">
        <v>1287</v>
      </c>
      <c r="E640" s="1">
        <v>44166</v>
      </c>
      <c r="F640">
        <v>1</v>
      </c>
      <c r="G640">
        <v>12</v>
      </c>
      <c r="H640">
        <v>2020</v>
      </c>
      <c r="I640" s="5">
        <f>(Table32[[#This Row],[Revenue]]/Table32[[#This Row],[Units Sold]])</f>
        <v>5</v>
      </c>
      <c r="J640" s="5">
        <f>Table32[[#This Row],[revenue/unit]]-Table32[[#This Row],[Cost/unit]]</f>
        <v>3</v>
      </c>
      <c r="K640">
        <f>Table32[[#This Row],[Revenue]]-Table32[[#This Row],[Cost]]</f>
        <v>3861</v>
      </c>
      <c r="L640" s="6">
        <f>Table32[[#This Row],[Net Profit]]/Table32[[#This Row],[Cost]]</f>
        <v>1.5</v>
      </c>
      <c r="M640">
        <v>6435</v>
      </c>
      <c r="N640" s="7">
        <f>Table32[[#This Row],[Cost]]/Table32[[#This Row],[Units Sold]]</f>
        <v>2</v>
      </c>
      <c r="O640">
        <v>2574</v>
      </c>
      <c r="T640" s="1"/>
    </row>
    <row r="641" spans="1:20">
      <c r="A641">
        <v>2</v>
      </c>
      <c r="B641">
        <v>566401</v>
      </c>
      <c r="C641" t="s">
        <v>10</v>
      </c>
      <c r="D641" s="2">
        <v>1706</v>
      </c>
      <c r="E641" s="1">
        <v>44166</v>
      </c>
      <c r="F641">
        <v>1</v>
      </c>
      <c r="G641">
        <v>12</v>
      </c>
      <c r="H641">
        <v>2020</v>
      </c>
      <c r="I641" s="5">
        <f>(Table32[[#This Row],[Revenue]]/Table32[[#This Row],[Units Sold]])</f>
        <v>5</v>
      </c>
      <c r="J641" s="5">
        <f>Table32[[#This Row],[revenue/unit]]-Table32[[#This Row],[Cost/unit]]</f>
        <v>3</v>
      </c>
      <c r="K641">
        <f>Table32[[#This Row],[Revenue]]-Table32[[#This Row],[Cost]]</f>
        <v>5118</v>
      </c>
      <c r="L641" s="6">
        <f>Table32[[#This Row],[Net Profit]]/Table32[[#This Row],[Cost]]</f>
        <v>1.5</v>
      </c>
      <c r="M641">
        <v>8530</v>
      </c>
      <c r="N641" s="7">
        <f>Table32[[#This Row],[Cost]]/Table32[[#This Row],[Units Sold]]</f>
        <v>2</v>
      </c>
      <c r="O641">
        <v>3412</v>
      </c>
      <c r="T641" s="1"/>
    </row>
    <row r="642" spans="1:20">
      <c r="A642">
        <v>3</v>
      </c>
      <c r="B642">
        <v>817134</v>
      </c>
      <c r="C642" t="s">
        <v>10</v>
      </c>
      <c r="D642" s="2">
        <v>274</v>
      </c>
      <c r="E642" s="1">
        <v>44166</v>
      </c>
      <c r="F642">
        <v>1</v>
      </c>
      <c r="G642">
        <v>12</v>
      </c>
      <c r="H642">
        <v>2020</v>
      </c>
      <c r="I642" s="5">
        <f>(Table32[[#This Row],[Revenue]]/Table32[[#This Row],[Units Sold]])</f>
        <v>5</v>
      </c>
      <c r="J642" s="5">
        <f>Table32[[#This Row],[revenue/unit]]-Table32[[#This Row],[Cost/unit]]</f>
        <v>3</v>
      </c>
      <c r="K642">
        <f>Table32[[#This Row],[Revenue]]-Table32[[#This Row],[Cost]]</f>
        <v>822</v>
      </c>
      <c r="L642" s="6">
        <f>Table32[[#This Row],[Net Profit]]/Table32[[#This Row],[Cost]]</f>
        <v>1.5</v>
      </c>
      <c r="M642">
        <v>1370</v>
      </c>
      <c r="N642" s="7">
        <f>Table32[[#This Row],[Cost]]/Table32[[#This Row],[Units Sold]]</f>
        <v>2</v>
      </c>
      <c r="O642">
        <v>548</v>
      </c>
      <c r="T642" s="1"/>
    </row>
    <row r="643" spans="1:20">
      <c r="A643">
        <v>3</v>
      </c>
      <c r="B643">
        <v>697568</v>
      </c>
      <c r="C643" t="s">
        <v>10</v>
      </c>
      <c r="D643" s="2">
        <v>1138</v>
      </c>
      <c r="E643" s="1">
        <v>44166</v>
      </c>
      <c r="F643">
        <v>1</v>
      </c>
      <c r="G643">
        <v>12</v>
      </c>
      <c r="H643">
        <v>2020</v>
      </c>
      <c r="I643" s="5">
        <f>(Table32[[#This Row],[Revenue]]/Table32[[#This Row],[Units Sold]])</f>
        <v>5</v>
      </c>
      <c r="J643" s="5">
        <f>Table32[[#This Row],[revenue/unit]]-Table32[[#This Row],[Cost/unit]]</f>
        <v>3</v>
      </c>
      <c r="K643">
        <f>Table32[[#This Row],[Revenue]]-Table32[[#This Row],[Cost]]</f>
        <v>3414</v>
      </c>
      <c r="L643" s="6">
        <f>Table32[[#This Row],[Net Profit]]/Table32[[#This Row],[Cost]]</f>
        <v>1.5</v>
      </c>
      <c r="M643">
        <v>5690</v>
      </c>
      <c r="N643" s="7">
        <f>Table32[[#This Row],[Cost]]/Table32[[#This Row],[Units Sold]]</f>
        <v>2</v>
      </c>
      <c r="O643">
        <v>2276</v>
      </c>
      <c r="T643" s="1"/>
    </row>
    <row r="644" spans="1:20">
      <c r="A644">
        <v>5</v>
      </c>
      <c r="B644">
        <v>115582</v>
      </c>
      <c r="C644" t="s">
        <v>10</v>
      </c>
      <c r="D644" s="2">
        <v>2431</v>
      </c>
      <c r="E644" s="1">
        <v>44166</v>
      </c>
      <c r="F644">
        <v>1</v>
      </c>
      <c r="G644">
        <v>12</v>
      </c>
      <c r="H644">
        <v>2020</v>
      </c>
      <c r="I644" s="5">
        <f>(Table32[[#This Row],[Revenue]]/Table32[[#This Row],[Units Sold]])</f>
        <v>5</v>
      </c>
      <c r="J644" s="5">
        <f>Table32[[#This Row],[revenue/unit]]-Table32[[#This Row],[Cost/unit]]</f>
        <v>3</v>
      </c>
      <c r="K644">
        <f>Table32[[#This Row],[Revenue]]-Table32[[#This Row],[Cost]]</f>
        <v>7293</v>
      </c>
      <c r="L644" s="6">
        <f>Table32[[#This Row],[Net Profit]]/Table32[[#This Row],[Cost]]</f>
        <v>1.5</v>
      </c>
      <c r="M644">
        <v>12155</v>
      </c>
      <c r="N644" s="7">
        <f>Table32[[#This Row],[Cost]]/Table32[[#This Row],[Units Sold]]</f>
        <v>2</v>
      </c>
      <c r="O644">
        <v>4862</v>
      </c>
      <c r="T644" s="1"/>
    </row>
    <row r="645" spans="1:20">
      <c r="A645">
        <v>4</v>
      </c>
      <c r="B645">
        <v>444225</v>
      </c>
      <c r="C645" t="s">
        <v>10</v>
      </c>
      <c r="D645" s="2">
        <v>2663</v>
      </c>
      <c r="E645" s="1">
        <v>44166</v>
      </c>
      <c r="F645">
        <v>1</v>
      </c>
      <c r="G645">
        <v>12</v>
      </c>
      <c r="H645">
        <v>2020</v>
      </c>
      <c r="I645" s="5">
        <f>(Table32[[#This Row],[Revenue]]/Table32[[#This Row],[Units Sold]])</f>
        <v>5</v>
      </c>
      <c r="J645" s="5">
        <f>Table32[[#This Row],[revenue/unit]]-Table32[[#This Row],[Cost/unit]]</f>
        <v>3</v>
      </c>
      <c r="K645">
        <f>Table32[[#This Row],[Revenue]]-Table32[[#This Row],[Cost]]</f>
        <v>7989</v>
      </c>
      <c r="L645" s="6">
        <f>Table32[[#This Row],[Net Profit]]/Table32[[#This Row],[Cost]]</f>
        <v>1.5</v>
      </c>
      <c r="M645">
        <v>13315</v>
      </c>
      <c r="N645" s="7">
        <f>Table32[[#This Row],[Cost]]/Table32[[#This Row],[Units Sold]]</f>
        <v>2</v>
      </c>
      <c r="O645">
        <v>5326</v>
      </c>
      <c r="T645" s="1"/>
    </row>
    <row r="646" spans="1:20">
      <c r="A646">
        <v>5</v>
      </c>
      <c r="B646">
        <v>816536</v>
      </c>
      <c r="C646" t="s">
        <v>10</v>
      </c>
      <c r="D646" s="2">
        <v>1362</v>
      </c>
      <c r="E646" s="1">
        <v>44166</v>
      </c>
      <c r="F646">
        <v>1</v>
      </c>
      <c r="G646">
        <v>12</v>
      </c>
      <c r="H646">
        <v>2020</v>
      </c>
      <c r="I646" s="5">
        <f>(Table32[[#This Row],[Revenue]]/Table32[[#This Row],[Units Sold]])</f>
        <v>5</v>
      </c>
      <c r="J646" s="5">
        <f>Table32[[#This Row],[revenue/unit]]-Table32[[#This Row],[Cost/unit]]</f>
        <v>3</v>
      </c>
      <c r="K646">
        <f>Table32[[#This Row],[Revenue]]-Table32[[#This Row],[Cost]]</f>
        <v>4086</v>
      </c>
      <c r="L646" s="6">
        <f>Table32[[#This Row],[Net Profit]]/Table32[[#This Row],[Cost]]</f>
        <v>1.5</v>
      </c>
      <c r="M646">
        <v>6810</v>
      </c>
      <c r="N646" s="7">
        <f>Table32[[#This Row],[Cost]]/Table32[[#This Row],[Units Sold]]</f>
        <v>2</v>
      </c>
      <c r="O646">
        <v>2724</v>
      </c>
      <c r="T646" s="1"/>
    </row>
    <row r="647" spans="1:20">
      <c r="A647">
        <v>4</v>
      </c>
      <c r="B647">
        <v>307196</v>
      </c>
      <c r="C647" t="s">
        <v>10</v>
      </c>
      <c r="D647" s="2">
        <v>2797</v>
      </c>
      <c r="E647" s="1">
        <v>44166</v>
      </c>
      <c r="F647">
        <v>1</v>
      </c>
      <c r="G647">
        <v>12</v>
      </c>
      <c r="H647">
        <v>2020</v>
      </c>
      <c r="I647" s="5">
        <f>(Table32[[#This Row],[Revenue]]/Table32[[#This Row],[Units Sold]])</f>
        <v>5</v>
      </c>
      <c r="J647" s="5">
        <f>Table32[[#This Row],[revenue/unit]]-Table32[[#This Row],[Cost/unit]]</f>
        <v>3</v>
      </c>
      <c r="K647">
        <f>Table32[[#This Row],[Revenue]]-Table32[[#This Row],[Cost]]</f>
        <v>8391</v>
      </c>
      <c r="L647" s="6">
        <f>Table32[[#This Row],[Net Profit]]/Table32[[#This Row],[Cost]]</f>
        <v>1.5</v>
      </c>
      <c r="M647">
        <v>13985</v>
      </c>
      <c r="N647" s="7">
        <f>Table32[[#This Row],[Cost]]/Table32[[#This Row],[Units Sold]]</f>
        <v>2</v>
      </c>
      <c r="O647">
        <v>5594</v>
      </c>
      <c r="T647" s="1"/>
    </row>
    <row r="648" spans="1:20">
      <c r="A648">
        <v>5</v>
      </c>
      <c r="B648">
        <v>514463</v>
      </c>
      <c r="C648" t="s">
        <v>10</v>
      </c>
      <c r="D648" s="2">
        <v>1233</v>
      </c>
      <c r="E648" s="1">
        <v>44166</v>
      </c>
      <c r="F648">
        <v>1</v>
      </c>
      <c r="G648">
        <v>12</v>
      </c>
      <c r="H648">
        <v>2020</v>
      </c>
      <c r="I648" s="5">
        <f>(Table32[[#This Row],[Revenue]]/Table32[[#This Row],[Units Sold]])</f>
        <v>5</v>
      </c>
      <c r="J648" s="5">
        <f>Table32[[#This Row],[revenue/unit]]-Table32[[#This Row],[Cost/unit]]</f>
        <v>3</v>
      </c>
      <c r="K648">
        <f>Table32[[#This Row],[Revenue]]-Table32[[#This Row],[Cost]]</f>
        <v>3699</v>
      </c>
      <c r="L648" s="6">
        <f>Table32[[#This Row],[Net Profit]]/Table32[[#This Row],[Cost]]</f>
        <v>1.5</v>
      </c>
      <c r="M648">
        <v>6165</v>
      </c>
      <c r="N648" s="7">
        <f>Table32[[#This Row],[Cost]]/Table32[[#This Row],[Units Sold]]</f>
        <v>2</v>
      </c>
      <c r="O648">
        <v>2466</v>
      </c>
      <c r="T648" s="1"/>
    </row>
    <row r="649" spans="1:20">
      <c r="A649">
        <v>3</v>
      </c>
      <c r="B649">
        <v>143923</v>
      </c>
      <c r="C649" t="s">
        <v>10</v>
      </c>
      <c r="D649" s="2">
        <v>1531</v>
      </c>
      <c r="E649" s="1">
        <v>44166</v>
      </c>
      <c r="F649">
        <v>1</v>
      </c>
      <c r="G649">
        <v>12</v>
      </c>
      <c r="H649">
        <v>2020</v>
      </c>
      <c r="I649" s="5">
        <f>(Table32[[#This Row],[Revenue]]/Table32[[#This Row],[Units Sold]])</f>
        <v>5</v>
      </c>
      <c r="J649" s="5">
        <f>Table32[[#This Row],[revenue/unit]]-Table32[[#This Row],[Cost/unit]]</f>
        <v>3</v>
      </c>
      <c r="K649">
        <f>Table32[[#This Row],[Revenue]]-Table32[[#This Row],[Cost]]</f>
        <v>4593</v>
      </c>
      <c r="L649" s="6">
        <f>Table32[[#This Row],[Net Profit]]/Table32[[#This Row],[Cost]]</f>
        <v>1.5</v>
      </c>
      <c r="M649">
        <v>7655</v>
      </c>
      <c r="N649" s="7">
        <f>Table32[[#This Row],[Cost]]/Table32[[#This Row],[Units Sold]]</f>
        <v>2</v>
      </c>
      <c r="O649">
        <v>3062</v>
      </c>
      <c r="T649" s="1"/>
    </row>
    <row r="650" spans="1:20">
      <c r="A650">
        <v>4</v>
      </c>
      <c r="B650">
        <v>721092</v>
      </c>
      <c r="C650" t="s">
        <v>10</v>
      </c>
      <c r="D650" s="2">
        <v>1013</v>
      </c>
      <c r="E650" s="1">
        <v>44166</v>
      </c>
      <c r="F650">
        <v>1</v>
      </c>
      <c r="G650">
        <v>12</v>
      </c>
      <c r="H650">
        <v>2020</v>
      </c>
      <c r="I650" s="5">
        <f>(Table32[[#This Row],[Revenue]]/Table32[[#This Row],[Units Sold]])</f>
        <v>5</v>
      </c>
      <c r="J650" s="5">
        <f>Table32[[#This Row],[revenue/unit]]-Table32[[#This Row],[Cost/unit]]</f>
        <v>3</v>
      </c>
      <c r="K650">
        <f>Table32[[#This Row],[Revenue]]-Table32[[#This Row],[Cost]]</f>
        <v>3039</v>
      </c>
      <c r="L650" s="6">
        <f>Table32[[#This Row],[Net Profit]]/Table32[[#This Row],[Cost]]</f>
        <v>1.5</v>
      </c>
      <c r="M650">
        <v>5065</v>
      </c>
      <c r="N650" s="7">
        <f>Table32[[#This Row],[Cost]]/Table32[[#This Row],[Units Sold]]</f>
        <v>2</v>
      </c>
      <c r="O650">
        <v>2026</v>
      </c>
      <c r="T650" s="1"/>
    </row>
    <row r="651" spans="1:20">
      <c r="A651">
        <v>5</v>
      </c>
      <c r="B651">
        <v>855262</v>
      </c>
      <c r="C651" t="s">
        <v>10</v>
      </c>
      <c r="D651" s="2">
        <v>914</v>
      </c>
      <c r="E651" s="1">
        <v>44166</v>
      </c>
      <c r="F651">
        <v>1</v>
      </c>
      <c r="G651">
        <v>12</v>
      </c>
      <c r="H651">
        <v>2020</v>
      </c>
      <c r="I651" s="5">
        <f>(Table32[[#This Row],[Revenue]]/Table32[[#This Row],[Units Sold]])</f>
        <v>5</v>
      </c>
      <c r="J651" s="5">
        <f>Table32[[#This Row],[revenue/unit]]-Table32[[#This Row],[Cost/unit]]</f>
        <v>3</v>
      </c>
      <c r="K651">
        <f>Table32[[#This Row],[Revenue]]-Table32[[#This Row],[Cost]]</f>
        <v>2742</v>
      </c>
      <c r="L651" s="6">
        <f>Table32[[#This Row],[Net Profit]]/Table32[[#This Row],[Cost]]</f>
        <v>1.5</v>
      </c>
      <c r="M651">
        <v>4570</v>
      </c>
      <c r="N651" s="7">
        <f>Table32[[#This Row],[Cost]]/Table32[[#This Row],[Units Sold]]</f>
        <v>2</v>
      </c>
      <c r="O651">
        <v>1828</v>
      </c>
      <c r="T651" s="1"/>
    </row>
    <row r="652" spans="1:20">
      <c r="A652">
        <v>4</v>
      </c>
      <c r="B652">
        <v>809091</v>
      </c>
      <c r="C652" t="s">
        <v>10</v>
      </c>
      <c r="D652" s="2">
        <v>293</v>
      </c>
      <c r="E652" s="1">
        <v>44166</v>
      </c>
      <c r="F652">
        <v>1</v>
      </c>
      <c r="G652">
        <v>12</v>
      </c>
      <c r="H652">
        <v>2020</v>
      </c>
      <c r="I652" s="5">
        <f>(Table32[[#This Row],[Revenue]]/Table32[[#This Row],[Units Sold]])</f>
        <v>5</v>
      </c>
      <c r="J652" s="5">
        <f>Table32[[#This Row],[revenue/unit]]-Table32[[#This Row],[Cost/unit]]</f>
        <v>3</v>
      </c>
      <c r="K652">
        <f>Table32[[#This Row],[Revenue]]-Table32[[#This Row],[Cost]]</f>
        <v>879</v>
      </c>
      <c r="L652" s="6">
        <f>Table32[[#This Row],[Net Profit]]/Table32[[#This Row],[Cost]]</f>
        <v>1.5</v>
      </c>
      <c r="M652">
        <v>1465</v>
      </c>
      <c r="N652" s="7">
        <f>Table32[[#This Row],[Cost]]/Table32[[#This Row],[Units Sold]]</f>
        <v>2</v>
      </c>
      <c r="O652">
        <v>586</v>
      </c>
      <c r="T652" s="1"/>
    </row>
    <row r="653" spans="1:20">
      <c r="A653">
        <v>3</v>
      </c>
      <c r="B653">
        <v>227728</v>
      </c>
      <c r="C653" t="s">
        <v>11</v>
      </c>
      <c r="D653" s="2">
        <v>615</v>
      </c>
      <c r="E653" s="1">
        <v>44166</v>
      </c>
      <c r="F653">
        <v>1</v>
      </c>
      <c r="G653">
        <v>12</v>
      </c>
      <c r="H653">
        <v>2020</v>
      </c>
      <c r="I653" s="5">
        <f>(Table32[[#This Row],[Revenue]]/Table32[[#This Row],[Units Sold]])</f>
        <v>1</v>
      </c>
      <c r="J653" s="5">
        <f>Table32[[#This Row],[revenue/unit]]-Table32[[#This Row],[Cost/unit]]</f>
        <v>0.5</v>
      </c>
      <c r="K653">
        <f>Table32[[#This Row],[Revenue]]-Table32[[#This Row],[Cost]]</f>
        <v>307.5</v>
      </c>
      <c r="L653" s="6">
        <f>Table32[[#This Row],[Net Profit]]/Table32[[#This Row],[Cost]]</f>
        <v>1</v>
      </c>
      <c r="M653">
        <v>615</v>
      </c>
      <c r="N653" s="7">
        <f>Table32[[#This Row],[Cost]]/Table32[[#This Row],[Units Sold]]</f>
        <v>0.5</v>
      </c>
      <c r="O653">
        <v>307.5</v>
      </c>
      <c r="T653" s="1"/>
    </row>
    <row r="654" spans="1:20">
      <c r="A654">
        <v>3</v>
      </c>
      <c r="B654">
        <v>637451</v>
      </c>
      <c r="C654" t="s">
        <v>11</v>
      </c>
      <c r="D654" s="2">
        <v>1287</v>
      </c>
      <c r="E654" s="1">
        <v>44166</v>
      </c>
      <c r="F654">
        <v>1</v>
      </c>
      <c r="G654">
        <v>12</v>
      </c>
      <c r="H654">
        <v>2020</v>
      </c>
      <c r="I654" s="5">
        <f>(Table32[[#This Row],[Revenue]]/Table32[[#This Row],[Units Sold]])</f>
        <v>1</v>
      </c>
      <c r="J654" s="5">
        <f>Table32[[#This Row],[revenue/unit]]-Table32[[#This Row],[Cost/unit]]</f>
        <v>0.5</v>
      </c>
      <c r="K654">
        <f>Table32[[#This Row],[Revenue]]-Table32[[#This Row],[Cost]]</f>
        <v>643.5</v>
      </c>
      <c r="L654" s="6">
        <f>Table32[[#This Row],[Net Profit]]/Table32[[#This Row],[Cost]]</f>
        <v>1</v>
      </c>
      <c r="M654">
        <v>1287</v>
      </c>
      <c r="N654" s="7">
        <f>Table32[[#This Row],[Cost]]/Table32[[#This Row],[Units Sold]]</f>
        <v>0.5</v>
      </c>
      <c r="O654">
        <v>643.5</v>
      </c>
      <c r="T654" s="1"/>
    </row>
    <row r="655" spans="1:20">
      <c r="A655">
        <v>3</v>
      </c>
      <c r="B655">
        <v>494228</v>
      </c>
      <c r="C655" t="s">
        <v>11</v>
      </c>
      <c r="D655" s="2">
        <v>1706</v>
      </c>
      <c r="E655" s="1">
        <v>44166</v>
      </c>
      <c r="F655">
        <v>1</v>
      </c>
      <c r="G655">
        <v>12</v>
      </c>
      <c r="H655">
        <v>2020</v>
      </c>
      <c r="I655" s="5">
        <f>(Table32[[#This Row],[Revenue]]/Table32[[#This Row],[Units Sold]])</f>
        <v>1</v>
      </c>
      <c r="J655" s="5">
        <f>Table32[[#This Row],[revenue/unit]]-Table32[[#This Row],[Cost/unit]]</f>
        <v>0.5</v>
      </c>
      <c r="K655">
        <f>Table32[[#This Row],[Revenue]]-Table32[[#This Row],[Cost]]</f>
        <v>853</v>
      </c>
      <c r="L655" s="6">
        <f>Table32[[#This Row],[Net Profit]]/Table32[[#This Row],[Cost]]</f>
        <v>1</v>
      </c>
      <c r="M655">
        <v>1706</v>
      </c>
      <c r="N655" s="7">
        <f>Table32[[#This Row],[Cost]]/Table32[[#This Row],[Units Sold]]</f>
        <v>0.5</v>
      </c>
      <c r="O655">
        <v>853</v>
      </c>
      <c r="T655" s="1"/>
    </row>
    <row r="656" spans="1:20">
      <c r="A656">
        <v>4</v>
      </c>
      <c r="B656">
        <v>130685</v>
      </c>
      <c r="C656" t="s">
        <v>11</v>
      </c>
      <c r="D656" s="2">
        <v>1138</v>
      </c>
      <c r="E656" s="1">
        <v>44166</v>
      </c>
      <c r="F656">
        <v>1</v>
      </c>
      <c r="G656">
        <v>12</v>
      </c>
      <c r="H656">
        <v>2020</v>
      </c>
      <c r="I656" s="5">
        <f>(Table32[[#This Row],[Revenue]]/Table32[[#This Row],[Units Sold]])</f>
        <v>1</v>
      </c>
      <c r="J656" s="5">
        <f>Table32[[#This Row],[revenue/unit]]-Table32[[#This Row],[Cost/unit]]</f>
        <v>0.5</v>
      </c>
      <c r="K656">
        <f>Table32[[#This Row],[Revenue]]-Table32[[#This Row],[Cost]]</f>
        <v>569</v>
      </c>
      <c r="L656" s="6">
        <f>Table32[[#This Row],[Net Profit]]/Table32[[#This Row],[Cost]]</f>
        <v>1</v>
      </c>
      <c r="M656">
        <v>1138</v>
      </c>
      <c r="N656" s="7">
        <f>Table32[[#This Row],[Cost]]/Table32[[#This Row],[Units Sold]]</f>
        <v>0.5</v>
      </c>
      <c r="O656">
        <v>569</v>
      </c>
      <c r="T656" s="1"/>
    </row>
    <row r="657" spans="1:20">
      <c r="A657">
        <v>5</v>
      </c>
      <c r="B657">
        <v>711452</v>
      </c>
      <c r="C657" t="s">
        <v>11</v>
      </c>
      <c r="D657" s="2">
        <v>711</v>
      </c>
      <c r="E657" s="1">
        <v>44166</v>
      </c>
      <c r="F657">
        <v>1</v>
      </c>
      <c r="G657">
        <v>12</v>
      </c>
      <c r="H657">
        <v>2020</v>
      </c>
      <c r="I657" s="5">
        <f>(Table32[[#This Row],[Revenue]]/Table32[[#This Row],[Units Sold]])</f>
        <v>1</v>
      </c>
      <c r="J657" s="5">
        <f>Table32[[#This Row],[revenue/unit]]-Table32[[#This Row],[Cost/unit]]</f>
        <v>0.5</v>
      </c>
      <c r="K657">
        <f>Table32[[#This Row],[Revenue]]-Table32[[#This Row],[Cost]]</f>
        <v>355.5</v>
      </c>
      <c r="L657" s="6">
        <f>Table32[[#This Row],[Net Profit]]/Table32[[#This Row],[Cost]]</f>
        <v>1</v>
      </c>
      <c r="M657">
        <v>711</v>
      </c>
      <c r="N657" s="7">
        <f>Table32[[#This Row],[Cost]]/Table32[[#This Row],[Units Sold]]</f>
        <v>0.5</v>
      </c>
      <c r="O657">
        <v>355.5</v>
      </c>
      <c r="T657" s="1"/>
    </row>
    <row r="658" spans="1:20">
      <c r="A658">
        <v>3</v>
      </c>
      <c r="B658">
        <v>390387</v>
      </c>
      <c r="C658" t="s">
        <v>11</v>
      </c>
      <c r="D658" s="2">
        <v>2797</v>
      </c>
      <c r="E658" s="1">
        <v>44166</v>
      </c>
      <c r="F658">
        <v>1</v>
      </c>
      <c r="G658">
        <v>12</v>
      </c>
      <c r="H658">
        <v>2020</v>
      </c>
      <c r="I658" s="5">
        <f>(Table32[[#This Row],[Revenue]]/Table32[[#This Row],[Units Sold]])</f>
        <v>1</v>
      </c>
      <c r="J658" s="5">
        <f>Table32[[#This Row],[revenue/unit]]-Table32[[#This Row],[Cost/unit]]</f>
        <v>0.5</v>
      </c>
      <c r="K658">
        <f>Table32[[#This Row],[Revenue]]-Table32[[#This Row],[Cost]]</f>
        <v>1398.5</v>
      </c>
      <c r="L658" s="6">
        <f>Table32[[#This Row],[Net Profit]]/Table32[[#This Row],[Cost]]</f>
        <v>1</v>
      </c>
      <c r="M658">
        <v>2797</v>
      </c>
      <c r="N658" s="7">
        <f>Table32[[#This Row],[Cost]]/Table32[[#This Row],[Units Sold]]</f>
        <v>0.5</v>
      </c>
      <c r="O658">
        <v>1398.5</v>
      </c>
      <c r="T658" s="1"/>
    </row>
    <row r="659" spans="1:20">
      <c r="A659">
        <v>5</v>
      </c>
      <c r="B659">
        <v>742570</v>
      </c>
      <c r="C659" t="s">
        <v>11</v>
      </c>
      <c r="D659" s="2">
        <v>2072</v>
      </c>
      <c r="E659" s="1">
        <v>44166</v>
      </c>
      <c r="F659">
        <v>1</v>
      </c>
      <c r="G659">
        <v>12</v>
      </c>
      <c r="H659">
        <v>2020</v>
      </c>
      <c r="I659" s="5">
        <f>(Table32[[#This Row],[Revenue]]/Table32[[#This Row],[Units Sold]])</f>
        <v>1</v>
      </c>
      <c r="J659" s="5">
        <f>Table32[[#This Row],[revenue/unit]]-Table32[[#This Row],[Cost/unit]]</f>
        <v>0.5</v>
      </c>
      <c r="K659">
        <f>Table32[[#This Row],[Revenue]]-Table32[[#This Row],[Cost]]</f>
        <v>1036</v>
      </c>
      <c r="L659" s="6">
        <f>Table32[[#This Row],[Net Profit]]/Table32[[#This Row],[Cost]]</f>
        <v>1</v>
      </c>
      <c r="M659">
        <v>2072</v>
      </c>
      <c r="N659" s="7">
        <f>Table32[[#This Row],[Cost]]/Table32[[#This Row],[Units Sold]]</f>
        <v>0.5</v>
      </c>
      <c r="O659">
        <v>1036</v>
      </c>
      <c r="T659" s="1"/>
    </row>
    <row r="660" spans="1:20">
      <c r="A660">
        <v>1</v>
      </c>
      <c r="B660">
        <v>881771</v>
      </c>
      <c r="C660" t="s">
        <v>11</v>
      </c>
      <c r="D660" s="2">
        <v>2157</v>
      </c>
      <c r="E660" s="1">
        <v>44166</v>
      </c>
      <c r="F660">
        <v>1</v>
      </c>
      <c r="G660">
        <v>12</v>
      </c>
      <c r="H660">
        <v>2020</v>
      </c>
      <c r="I660" s="5">
        <f>(Table32[[#This Row],[Revenue]]/Table32[[#This Row],[Units Sold]])</f>
        <v>1</v>
      </c>
      <c r="J660" s="5">
        <f>Table32[[#This Row],[revenue/unit]]-Table32[[#This Row],[Cost/unit]]</f>
        <v>0.5</v>
      </c>
      <c r="K660">
        <f>Table32[[#This Row],[Revenue]]-Table32[[#This Row],[Cost]]</f>
        <v>1078.5</v>
      </c>
      <c r="L660" s="6">
        <f>Table32[[#This Row],[Net Profit]]/Table32[[#This Row],[Cost]]</f>
        <v>1</v>
      </c>
      <c r="M660">
        <v>2157</v>
      </c>
      <c r="N660" s="7">
        <f>Table32[[#This Row],[Cost]]/Table32[[#This Row],[Units Sold]]</f>
        <v>0.5</v>
      </c>
      <c r="O660">
        <v>1078.5</v>
      </c>
      <c r="T660" s="1"/>
    </row>
    <row r="661" spans="1:20">
      <c r="A661">
        <v>3</v>
      </c>
      <c r="B661">
        <v>138137</v>
      </c>
      <c r="C661" t="s">
        <v>11</v>
      </c>
      <c r="D661" s="2">
        <v>2300</v>
      </c>
      <c r="E661" s="1">
        <v>44166</v>
      </c>
      <c r="F661">
        <v>1</v>
      </c>
      <c r="G661">
        <v>12</v>
      </c>
      <c r="H661">
        <v>2020</v>
      </c>
      <c r="I661" s="5">
        <f>(Table32[[#This Row],[Revenue]]/Table32[[#This Row],[Units Sold]])</f>
        <v>1</v>
      </c>
      <c r="J661" s="5">
        <f>Table32[[#This Row],[revenue/unit]]-Table32[[#This Row],[Cost/unit]]</f>
        <v>0.5</v>
      </c>
      <c r="K661">
        <f>Table32[[#This Row],[Revenue]]-Table32[[#This Row],[Cost]]</f>
        <v>1150</v>
      </c>
      <c r="L661" s="6">
        <f>Table32[[#This Row],[Net Profit]]/Table32[[#This Row],[Cost]]</f>
        <v>1</v>
      </c>
      <c r="M661">
        <v>2300</v>
      </c>
      <c r="N661" s="7">
        <f>Table32[[#This Row],[Cost]]/Table32[[#This Row],[Units Sold]]</f>
        <v>0.5</v>
      </c>
      <c r="O661">
        <v>1150</v>
      </c>
      <c r="T661" s="1"/>
    </row>
    <row r="662" spans="1:20">
      <c r="A662">
        <v>2</v>
      </c>
      <c r="B662">
        <v>183779</v>
      </c>
      <c r="C662" t="s">
        <v>12</v>
      </c>
      <c r="D662" s="2">
        <v>615</v>
      </c>
      <c r="E662" s="1">
        <v>44166</v>
      </c>
      <c r="F662">
        <v>1</v>
      </c>
      <c r="G662">
        <v>12</v>
      </c>
      <c r="H662">
        <v>2020</v>
      </c>
      <c r="I662" s="5">
        <f>(Table32[[#This Row],[Revenue]]/Table32[[#This Row],[Units Sold]])</f>
        <v>5</v>
      </c>
      <c r="J662" s="5">
        <f>Table32[[#This Row],[revenue/unit]]-Table32[[#This Row],[Cost/unit]]</f>
        <v>2.8</v>
      </c>
      <c r="K662">
        <f>Table32[[#This Row],[Revenue]]-Table32[[#This Row],[Cost]]</f>
        <v>1722</v>
      </c>
      <c r="L662" s="6">
        <f>Table32[[#This Row],[Net Profit]]/Table32[[#This Row],[Cost]]</f>
        <v>1.2727272727272727</v>
      </c>
      <c r="M662">
        <v>3075</v>
      </c>
      <c r="N662" s="7">
        <f>Table32[[#This Row],[Cost]]/Table32[[#This Row],[Units Sold]]</f>
        <v>2.2000000000000002</v>
      </c>
      <c r="O662">
        <v>1353</v>
      </c>
      <c r="T662" s="1"/>
    </row>
    <row r="663" spans="1:20">
      <c r="A663">
        <v>3</v>
      </c>
      <c r="B663">
        <v>580583</v>
      </c>
      <c r="C663" t="s">
        <v>12</v>
      </c>
      <c r="D663" s="2">
        <v>1916</v>
      </c>
      <c r="E663" s="1">
        <v>44166</v>
      </c>
      <c r="F663">
        <v>1</v>
      </c>
      <c r="G663">
        <v>12</v>
      </c>
      <c r="H663">
        <v>2020</v>
      </c>
      <c r="I663" s="5">
        <f>(Table32[[#This Row],[Revenue]]/Table32[[#This Row],[Units Sold]])</f>
        <v>5</v>
      </c>
      <c r="J663" s="5">
        <f>Table32[[#This Row],[revenue/unit]]-Table32[[#This Row],[Cost/unit]]</f>
        <v>2.8</v>
      </c>
      <c r="K663">
        <f>Table32[[#This Row],[Revenue]]-Table32[[#This Row],[Cost]]</f>
        <v>5364.7999999999993</v>
      </c>
      <c r="L663" s="6">
        <f>Table32[[#This Row],[Net Profit]]/Table32[[#This Row],[Cost]]</f>
        <v>1.2727272727272723</v>
      </c>
      <c r="M663">
        <v>9580</v>
      </c>
      <c r="N663" s="7">
        <f>Table32[[#This Row],[Cost]]/Table32[[#This Row],[Units Sold]]</f>
        <v>2.2000000000000002</v>
      </c>
      <c r="O663">
        <v>4215.2000000000007</v>
      </c>
      <c r="T663" s="1"/>
    </row>
    <row r="664" spans="1:20">
      <c r="A664">
        <v>2</v>
      </c>
      <c r="B664">
        <v>707082</v>
      </c>
      <c r="C664" t="s">
        <v>12</v>
      </c>
      <c r="D664" s="2">
        <v>1250</v>
      </c>
      <c r="E664" s="1">
        <v>44166</v>
      </c>
      <c r="F664">
        <v>1</v>
      </c>
      <c r="G664">
        <v>12</v>
      </c>
      <c r="H664">
        <v>2020</v>
      </c>
      <c r="I664" s="5">
        <f>(Table32[[#This Row],[Revenue]]/Table32[[#This Row],[Units Sold]])</f>
        <v>5</v>
      </c>
      <c r="J664" s="5">
        <f>Table32[[#This Row],[revenue/unit]]-Table32[[#This Row],[Cost/unit]]</f>
        <v>2.8</v>
      </c>
      <c r="K664">
        <f>Table32[[#This Row],[Revenue]]-Table32[[#This Row],[Cost]]</f>
        <v>3500</v>
      </c>
      <c r="L664" s="6">
        <f>Table32[[#This Row],[Net Profit]]/Table32[[#This Row],[Cost]]</f>
        <v>1.2727272727272727</v>
      </c>
      <c r="M664">
        <v>6250</v>
      </c>
      <c r="N664" s="7">
        <f>Table32[[#This Row],[Cost]]/Table32[[#This Row],[Units Sold]]</f>
        <v>2.2000000000000002</v>
      </c>
      <c r="O664">
        <v>2750</v>
      </c>
      <c r="T664" s="1"/>
    </row>
    <row r="665" spans="1:20">
      <c r="A665">
        <v>5</v>
      </c>
      <c r="B665">
        <v>560670</v>
      </c>
      <c r="C665" t="s">
        <v>12</v>
      </c>
      <c r="D665" s="2">
        <v>1372</v>
      </c>
      <c r="E665" s="1">
        <v>44166</v>
      </c>
      <c r="F665">
        <v>1</v>
      </c>
      <c r="G665">
        <v>12</v>
      </c>
      <c r="H665">
        <v>2020</v>
      </c>
      <c r="I665" s="5">
        <f>(Table32[[#This Row],[Revenue]]/Table32[[#This Row],[Units Sold]])</f>
        <v>5</v>
      </c>
      <c r="J665" s="5">
        <f>Table32[[#This Row],[revenue/unit]]-Table32[[#This Row],[Cost/unit]]</f>
        <v>2.8</v>
      </c>
      <c r="K665">
        <f>Table32[[#This Row],[Revenue]]-Table32[[#This Row],[Cost]]</f>
        <v>3841.6</v>
      </c>
      <c r="L665" s="6">
        <f>Table32[[#This Row],[Net Profit]]/Table32[[#This Row],[Cost]]</f>
        <v>1.2727272727272727</v>
      </c>
      <c r="M665">
        <v>6860</v>
      </c>
      <c r="N665" s="7">
        <f>Table32[[#This Row],[Cost]]/Table32[[#This Row],[Units Sold]]</f>
        <v>2.2000000000000002</v>
      </c>
      <c r="O665">
        <v>3018.4</v>
      </c>
      <c r="T665" s="1"/>
    </row>
    <row r="666" spans="1:20">
      <c r="A666">
        <v>5</v>
      </c>
      <c r="B666">
        <v>103888</v>
      </c>
      <c r="C666" t="s">
        <v>12</v>
      </c>
      <c r="D666" s="2">
        <v>711</v>
      </c>
      <c r="E666" s="1">
        <v>44166</v>
      </c>
      <c r="F666">
        <v>1</v>
      </c>
      <c r="G666">
        <v>12</v>
      </c>
      <c r="H666">
        <v>2020</v>
      </c>
      <c r="I666" s="5">
        <f>(Table32[[#This Row],[Revenue]]/Table32[[#This Row],[Units Sold]])</f>
        <v>5</v>
      </c>
      <c r="J666" s="5">
        <f>Table32[[#This Row],[revenue/unit]]-Table32[[#This Row],[Cost/unit]]</f>
        <v>2.8</v>
      </c>
      <c r="K666">
        <f>Table32[[#This Row],[Revenue]]-Table32[[#This Row],[Cost]]</f>
        <v>1990.8</v>
      </c>
      <c r="L666" s="6">
        <f>Table32[[#This Row],[Net Profit]]/Table32[[#This Row],[Cost]]</f>
        <v>1.2727272727272727</v>
      </c>
      <c r="M666">
        <v>3555</v>
      </c>
      <c r="N666" s="7">
        <f>Table32[[#This Row],[Cost]]/Table32[[#This Row],[Units Sold]]</f>
        <v>2.2000000000000002</v>
      </c>
      <c r="O666">
        <v>1564.2</v>
      </c>
      <c r="T666" s="1"/>
    </row>
    <row r="667" spans="1:20">
      <c r="A667">
        <v>3</v>
      </c>
      <c r="B667">
        <v>480891</v>
      </c>
      <c r="C667" t="s">
        <v>12</v>
      </c>
      <c r="D667" s="2">
        <v>635</v>
      </c>
      <c r="E667" s="1">
        <v>44166</v>
      </c>
      <c r="F667">
        <v>1</v>
      </c>
      <c r="G667">
        <v>12</v>
      </c>
      <c r="H667">
        <v>2020</v>
      </c>
      <c r="I667" s="5">
        <f>(Table32[[#This Row],[Revenue]]/Table32[[#This Row],[Units Sold]])</f>
        <v>5</v>
      </c>
      <c r="J667" s="5">
        <f>Table32[[#This Row],[revenue/unit]]-Table32[[#This Row],[Cost/unit]]</f>
        <v>2.8</v>
      </c>
      <c r="K667">
        <f>Table32[[#This Row],[Revenue]]-Table32[[#This Row],[Cost]]</f>
        <v>1778</v>
      </c>
      <c r="L667" s="6">
        <f>Table32[[#This Row],[Net Profit]]/Table32[[#This Row],[Cost]]</f>
        <v>1.2727272727272727</v>
      </c>
      <c r="M667">
        <v>3175</v>
      </c>
      <c r="N667" s="7">
        <f>Table32[[#This Row],[Cost]]/Table32[[#This Row],[Units Sold]]</f>
        <v>2.2000000000000002</v>
      </c>
      <c r="O667">
        <v>1397</v>
      </c>
      <c r="T667" s="1"/>
    </row>
    <row r="668" spans="1:20">
      <c r="A668">
        <v>5</v>
      </c>
      <c r="B668">
        <v>190154</v>
      </c>
      <c r="C668" t="s">
        <v>12</v>
      </c>
      <c r="D668" s="2">
        <v>2072</v>
      </c>
      <c r="E668" s="1">
        <v>44166</v>
      </c>
      <c r="F668">
        <v>1</v>
      </c>
      <c r="G668">
        <v>12</v>
      </c>
      <c r="H668">
        <v>2020</v>
      </c>
      <c r="I668" s="5">
        <f>(Table32[[#This Row],[Revenue]]/Table32[[#This Row],[Units Sold]])</f>
        <v>5</v>
      </c>
      <c r="J668" s="5">
        <f>Table32[[#This Row],[revenue/unit]]-Table32[[#This Row],[Cost/unit]]</f>
        <v>2.8</v>
      </c>
      <c r="K668">
        <f>Table32[[#This Row],[Revenue]]-Table32[[#This Row],[Cost]]</f>
        <v>5801.5999999999995</v>
      </c>
      <c r="L668" s="6">
        <f>Table32[[#This Row],[Net Profit]]/Table32[[#This Row],[Cost]]</f>
        <v>1.2727272727272725</v>
      </c>
      <c r="M668">
        <v>10360</v>
      </c>
      <c r="N668" s="7">
        <f>Table32[[#This Row],[Cost]]/Table32[[#This Row],[Units Sold]]</f>
        <v>2.2000000000000002</v>
      </c>
      <c r="O668">
        <v>4558.4000000000005</v>
      </c>
      <c r="T668" s="1"/>
    </row>
    <row r="669" spans="1:20">
      <c r="A669">
        <v>3</v>
      </c>
      <c r="B669">
        <v>681348</v>
      </c>
      <c r="C669" t="s">
        <v>12</v>
      </c>
      <c r="D669" s="2">
        <v>853</v>
      </c>
      <c r="E669" s="1">
        <v>44166</v>
      </c>
      <c r="F669">
        <v>1</v>
      </c>
      <c r="G669">
        <v>12</v>
      </c>
      <c r="H669">
        <v>2020</v>
      </c>
      <c r="I669" s="5">
        <f>(Table32[[#This Row],[Revenue]]/Table32[[#This Row],[Units Sold]])</f>
        <v>5</v>
      </c>
      <c r="J669" s="5">
        <f>Table32[[#This Row],[revenue/unit]]-Table32[[#This Row],[Cost/unit]]</f>
        <v>2.8</v>
      </c>
      <c r="K669">
        <f>Table32[[#This Row],[Revenue]]-Table32[[#This Row],[Cost]]</f>
        <v>2388.3999999999996</v>
      </c>
      <c r="L669" s="6">
        <f>Table32[[#This Row],[Net Profit]]/Table32[[#This Row],[Cost]]</f>
        <v>1.2727272727272725</v>
      </c>
      <c r="M669">
        <v>4265</v>
      </c>
      <c r="N669" s="7">
        <f>Table32[[#This Row],[Cost]]/Table32[[#This Row],[Units Sold]]</f>
        <v>2.2000000000000002</v>
      </c>
      <c r="O669">
        <v>1876.6000000000001</v>
      </c>
      <c r="T669" s="1"/>
    </row>
    <row r="670" spans="1:20">
      <c r="A670">
        <v>5</v>
      </c>
      <c r="B670">
        <v>441751</v>
      </c>
      <c r="C670" t="s">
        <v>12</v>
      </c>
      <c r="D670" s="2">
        <v>2157</v>
      </c>
      <c r="E670" s="1">
        <v>44166</v>
      </c>
      <c r="F670">
        <v>1</v>
      </c>
      <c r="G670">
        <v>12</v>
      </c>
      <c r="H670">
        <v>2020</v>
      </c>
      <c r="I670" s="5">
        <f>(Table32[[#This Row],[Revenue]]/Table32[[#This Row],[Units Sold]])</f>
        <v>5</v>
      </c>
      <c r="J670" s="5">
        <f>Table32[[#This Row],[revenue/unit]]-Table32[[#This Row],[Cost/unit]]</f>
        <v>2.8</v>
      </c>
      <c r="K670">
        <f>Table32[[#This Row],[Revenue]]-Table32[[#This Row],[Cost]]</f>
        <v>6039.5999999999995</v>
      </c>
      <c r="L670" s="6">
        <f>Table32[[#This Row],[Net Profit]]/Table32[[#This Row],[Cost]]</f>
        <v>1.2727272727272725</v>
      </c>
      <c r="M670">
        <v>10785</v>
      </c>
      <c r="N670" s="7">
        <f>Table32[[#This Row],[Cost]]/Table32[[#This Row],[Units Sold]]</f>
        <v>2.2000000000000002</v>
      </c>
      <c r="O670">
        <v>4745.4000000000005</v>
      </c>
      <c r="T670" s="1"/>
    </row>
    <row r="671" spans="1:20">
      <c r="A671">
        <v>4</v>
      </c>
      <c r="B671">
        <v>682634</v>
      </c>
      <c r="C671" t="s">
        <v>13</v>
      </c>
      <c r="D671" s="2">
        <v>1513</v>
      </c>
      <c r="E671" s="1">
        <v>44166</v>
      </c>
      <c r="F671">
        <v>1</v>
      </c>
      <c r="G671">
        <v>12</v>
      </c>
      <c r="H671">
        <v>2020</v>
      </c>
      <c r="I671" s="5">
        <f>(Table32[[#This Row],[Revenue]]/Table32[[#This Row],[Units Sold]])</f>
        <v>4</v>
      </c>
      <c r="J671" s="5">
        <f>Table32[[#This Row],[revenue/unit]]-Table32[[#This Row],[Cost/unit]]</f>
        <v>2.5</v>
      </c>
      <c r="K671">
        <f>Table32[[#This Row],[Revenue]]-Table32[[#This Row],[Cost]]</f>
        <v>3782.5</v>
      </c>
      <c r="L671" s="6">
        <f>Table32[[#This Row],[Net Profit]]/Table32[[#This Row],[Cost]]</f>
        <v>1.6666666666666667</v>
      </c>
      <c r="M671">
        <v>6052</v>
      </c>
      <c r="N671" s="7">
        <f>Table32[[#This Row],[Cost]]/Table32[[#This Row],[Units Sold]]</f>
        <v>1.5</v>
      </c>
      <c r="O671">
        <v>2269.5</v>
      </c>
      <c r="T671" s="1"/>
    </row>
    <row r="672" spans="1:20">
      <c r="A672">
        <v>4</v>
      </c>
      <c r="B672">
        <v>338090</v>
      </c>
      <c r="C672" t="s">
        <v>13</v>
      </c>
      <c r="D672" s="2">
        <v>2155</v>
      </c>
      <c r="E672" s="1">
        <v>44166</v>
      </c>
      <c r="F672">
        <v>1</v>
      </c>
      <c r="G672">
        <v>12</v>
      </c>
      <c r="H672">
        <v>2020</v>
      </c>
      <c r="I672" s="5">
        <f>(Table32[[#This Row],[Revenue]]/Table32[[#This Row],[Units Sold]])</f>
        <v>4</v>
      </c>
      <c r="J672" s="5">
        <f>Table32[[#This Row],[revenue/unit]]-Table32[[#This Row],[Cost/unit]]</f>
        <v>2.5</v>
      </c>
      <c r="K672">
        <f>Table32[[#This Row],[Revenue]]-Table32[[#This Row],[Cost]]</f>
        <v>5387.5</v>
      </c>
      <c r="L672" s="6">
        <f>Table32[[#This Row],[Net Profit]]/Table32[[#This Row],[Cost]]</f>
        <v>1.6666666666666667</v>
      </c>
      <c r="M672">
        <v>8620</v>
      </c>
      <c r="N672" s="7">
        <f>Table32[[#This Row],[Cost]]/Table32[[#This Row],[Units Sold]]</f>
        <v>1.5</v>
      </c>
      <c r="O672">
        <v>3232.5</v>
      </c>
      <c r="T672" s="1"/>
    </row>
    <row r="673" spans="1:20">
      <c r="A673">
        <v>1</v>
      </c>
      <c r="B673">
        <v>866409</v>
      </c>
      <c r="C673" t="s">
        <v>13</v>
      </c>
      <c r="D673" s="2">
        <v>2852</v>
      </c>
      <c r="E673" s="1">
        <v>44166</v>
      </c>
      <c r="F673">
        <v>1</v>
      </c>
      <c r="G673">
        <v>12</v>
      </c>
      <c r="H673">
        <v>2020</v>
      </c>
      <c r="I673" s="5">
        <f>(Table32[[#This Row],[Revenue]]/Table32[[#This Row],[Units Sold]])</f>
        <v>4</v>
      </c>
      <c r="J673" s="5">
        <f>Table32[[#This Row],[revenue/unit]]-Table32[[#This Row],[Cost/unit]]</f>
        <v>2.5</v>
      </c>
      <c r="K673">
        <f>Table32[[#This Row],[Revenue]]-Table32[[#This Row],[Cost]]</f>
        <v>7130</v>
      </c>
      <c r="L673" s="6">
        <f>Table32[[#This Row],[Net Profit]]/Table32[[#This Row],[Cost]]</f>
        <v>1.6666666666666667</v>
      </c>
      <c r="M673">
        <v>11408</v>
      </c>
      <c r="N673" s="7">
        <f>Table32[[#This Row],[Cost]]/Table32[[#This Row],[Units Sold]]</f>
        <v>1.5</v>
      </c>
      <c r="O673">
        <v>4278</v>
      </c>
      <c r="T673" s="1"/>
    </row>
    <row r="674" spans="1:20">
      <c r="A674">
        <v>4</v>
      </c>
      <c r="B674">
        <v>882680</v>
      </c>
      <c r="C674" t="s">
        <v>13</v>
      </c>
      <c r="D674" s="2">
        <v>274</v>
      </c>
      <c r="E674" s="1">
        <v>44166</v>
      </c>
      <c r="F674">
        <v>1</v>
      </c>
      <c r="G674">
        <v>12</v>
      </c>
      <c r="H674">
        <v>2020</v>
      </c>
      <c r="I674" s="5">
        <f>(Table32[[#This Row],[Revenue]]/Table32[[#This Row],[Units Sold]])</f>
        <v>4</v>
      </c>
      <c r="J674" s="5">
        <f>Table32[[#This Row],[revenue/unit]]-Table32[[#This Row],[Cost/unit]]</f>
        <v>2.5</v>
      </c>
      <c r="K674">
        <f>Table32[[#This Row],[Revenue]]-Table32[[#This Row],[Cost]]</f>
        <v>685</v>
      </c>
      <c r="L674" s="6">
        <f>Table32[[#This Row],[Net Profit]]/Table32[[#This Row],[Cost]]</f>
        <v>1.6666666666666667</v>
      </c>
      <c r="M674">
        <v>1096</v>
      </c>
      <c r="N674" s="7">
        <f>Table32[[#This Row],[Cost]]/Table32[[#This Row],[Units Sold]]</f>
        <v>1.5</v>
      </c>
      <c r="O674">
        <v>411</v>
      </c>
      <c r="T674" s="1"/>
    </row>
    <row r="675" spans="1:20">
      <c r="A675">
        <v>2</v>
      </c>
      <c r="B675">
        <v>539656</v>
      </c>
      <c r="C675" t="s">
        <v>13</v>
      </c>
      <c r="D675" s="2">
        <v>570</v>
      </c>
      <c r="E675" s="1">
        <v>44166</v>
      </c>
      <c r="F675">
        <v>1</v>
      </c>
      <c r="G675">
        <v>12</v>
      </c>
      <c r="H675">
        <v>2020</v>
      </c>
      <c r="I675" s="5">
        <f>(Table32[[#This Row],[Revenue]]/Table32[[#This Row],[Units Sold]])</f>
        <v>4</v>
      </c>
      <c r="J675" s="5">
        <f>Table32[[#This Row],[revenue/unit]]-Table32[[#This Row],[Cost/unit]]</f>
        <v>2.5</v>
      </c>
      <c r="K675">
        <f>Table32[[#This Row],[Revenue]]-Table32[[#This Row],[Cost]]</f>
        <v>1425</v>
      </c>
      <c r="L675" s="6">
        <f>Table32[[#This Row],[Net Profit]]/Table32[[#This Row],[Cost]]</f>
        <v>1.6666666666666667</v>
      </c>
      <c r="M675">
        <v>2280</v>
      </c>
      <c r="N675" s="7">
        <f>Table32[[#This Row],[Cost]]/Table32[[#This Row],[Units Sold]]</f>
        <v>1.5</v>
      </c>
      <c r="O675">
        <v>855</v>
      </c>
      <c r="T675" s="1"/>
    </row>
    <row r="676" spans="1:20">
      <c r="A676">
        <v>2</v>
      </c>
      <c r="B676">
        <v>348955</v>
      </c>
      <c r="C676" t="s">
        <v>13</v>
      </c>
      <c r="D676" s="2">
        <v>2487</v>
      </c>
      <c r="E676" s="1">
        <v>44166</v>
      </c>
      <c r="F676">
        <v>1</v>
      </c>
      <c r="G676">
        <v>12</v>
      </c>
      <c r="H676">
        <v>2020</v>
      </c>
      <c r="I676" s="5">
        <f>(Table32[[#This Row],[Revenue]]/Table32[[#This Row],[Units Sold]])</f>
        <v>4</v>
      </c>
      <c r="J676" s="5">
        <f>Table32[[#This Row],[revenue/unit]]-Table32[[#This Row],[Cost/unit]]</f>
        <v>2.5</v>
      </c>
      <c r="K676">
        <f>Table32[[#This Row],[Revenue]]-Table32[[#This Row],[Cost]]</f>
        <v>6217.5</v>
      </c>
      <c r="L676" s="6">
        <f>Table32[[#This Row],[Net Profit]]/Table32[[#This Row],[Cost]]</f>
        <v>1.6666666666666667</v>
      </c>
      <c r="M676">
        <v>9948</v>
      </c>
      <c r="N676" s="7">
        <f>Table32[[#This Row],[Cost]]/Table32[[#This Row],[Units Sold]]</f>
        <v>1.5</v>
      </c>
      <c r="O676">
        <v>3730.5</v>
      </c>
      <c r="T676" s="1"/>
    </row>
    <row r="677" spans="1:20">
      <c r="A677">
        <v>4</v>
      </c>
      <c r="B677">
        <v>702657</v>
      </c>
      <c r="C677" t="s">
        <v>13</v>
      </c>
      <c r="D677" s="2">
        <v>1362</v>
      </c>
      <c r="E677" s="1">
        <v>44166</v>
      </c>
      <c r="F677">
        <v>1</v>
      </c>
      <c r="G677">
        <v>12</v>
      </c>
      <c r="H677">
        <v>2020</v>
      </c>
      <c r="I677" s="5">
        <f>(Table32[[#This Row],[Revenue]]/Table32[[#This Row],[Units Sold]])</f>
        <v>4</v>
      </c>
      <c r="J677" s="5">
        <f>Table32[[#This Row],[revenue/unit]]-Table32[[#This Row],[Cost/unit]]</f>
        <v>2.5</v>
      </c>
      <c r="K677">
        <f>Table32[[#This Row],[Revenue]]-Table32[[#This Row],[Cost]]</f>
        <v>3405</v>
      </c>
      <c r="L677" s="6">
        <f>Table32[[#This Row],[Net Profit]]/Table32[[#This Row],[Cost]]</f>
        <v>1.6666666666666667</v>
      </c>
      <c r="M677">
        <v>5448</v>
      </c>
      <c r="N677" s="7">
        <f>Table32[[#This Row],[Cost]]/Table32[[#This Row],[Units Sold]]</f>
        <v>1.5</v>
      </c>
      <c r="O677">
        <v>2043</v>
      </c>
      <c r="T677" s="1"/>
    </row>
    <row r="678" spans="1:20">
      <c r="A678">
        <v>2</v>
      </c>
      <c r="B678">
        <v>361276</v>
      </c>
      <c r="C678" t="s">
        <v>13</v>
      </c>
      <c r="D678" s="2">
        <v>521</v>
      </c>
      <c r="E678" s="1">
        <v>44166</v>
      </c>
      <c r="F678">
        <v>1</v>
      </c>
      <c r="G678">
        <v>12</v>
      </c>
      <c r="H678">
        <v>2020</v>
      </c>
      <c r="I678" s="5">
        <f>(Table32[[#This Row],[Revenue]]/Table32[[#This Row],[Units Sold]])</f>
        <v>4</v>
      </c>
      <c r="J678" s="5">
        <f>Table32[[#This Row],[revenue/unit]]-Table32[[#This Row],[Cost/unit]]</f>
        <v>2.5</v>
      </c>
      <c r="K678">
        <f>Table32[[#This Row],[Revenue]]-Table32[[#This Row],[Cost]]</f>
        <v>1302.5</v>
      </c>
      <c r="L678" s="6">
        <f>Table32[[#This Row],[Net Profit]]/Table32[[#This Row],[Cost]]</f>
        <v>1.6666666666666667</v>
      </c>
      <c r="M678">
        <v>2084</v>
      </c>
      <c r="N678" s="7">
        <f>Table32[[#This Row],[Cost]]/Table32[[#This Row],[Units Sold]]</f>
        <v>1.5</v>
      </c>
      <c r="O678">
        <v>781.5</v>
      </c>
      <c r="T678" s="1"/>
    </row>
    <row r="679" spans="1:20">
      <c r="A679">
        <v>4</v>
      </c>
      <c r="B679">
        <v>684001</v>
      </c>
      <c r="C679" t="s">
        <v>13</v>
      </c>
      <c r="D679" s="2">
        <v>280</v>
      </c>
      <c r="E679" s="1">
        <v>44166</v>
      </c>
      <c r="F679">
        <v>1</v>
      </c>
      <c r="G679">
        <v>12</v>
      </c>
      <c r="H679">
        <v>2020</v>
      </c>
      <c r="I679" s="5">
        <f>(Table32[[#This Row],[Revenue]]/Table32[[#This Row],[Units Sold]])</f>
        <v>4</v>
      </c>
      <c r="J679" s="5">
        <f>Table32[[#This Row],[revenue/unit]]-Table32[[#This Row],[Cost/unit]]</f>
        <v>2.5</v>
      </c>
      <c r="K679">
        <f>Table32[[#This Row],[Revenue]]-Table32[[#This Row],[Cost]]</f>
        <v>700</v>
      </c>
      <c r="L679" s="6">
        <f>Table32[[#This Row],[Net Profit]]/Table32[[#This Row],[Cost]]</f>
        <v>1.6666666666666667</v>
      </c>
      <c r="M679">
        <v>1120</v>
      </c>
      <c r="N679" s="7">
        <f>Table32[[#This Row],[Cost]]/Table32[[#This Row],[Units Sold]]</f>
        <v>1.5</v>
      </c>
      <c r="O679">
        <v>420</v>
      </c>
      <c r="T679" s="1"/>
    </row>
    <row r="680" spans="1:20">
      <c r="A680">
        <v>4</v>
      </c>
      <c r="B680">
        <v>632637</v>
      </c>
      <c r="C680" t="s">
        <v>13</v>
      </c>
      <c r="D680" s="2">
        <v>2300</v>
      </c>
      <c r="E680" s="1">
        <v>44166</v>
      </c>
      <c r="F680">
        <v>1</v>
      </c>
      <c r="G680">
        <v>12</v>
      </c>
      <c r="H680">
        <v>2020</v>
      </c>
      <c r="I680" s="5">
        <f>(Table32[[#This Row],[Revenue]]/Table32[[#This Row],[Units Sold]])</f>
        <v>4</v>
      </c>
      <c r="J680" s="5">
        <f>Table32[[#This Row],[revenue/unit]]-Table32[[#This Row],[Cost/unit]]</f>
        <v>2.5</v>
      </c>
      <c r="K680">
        <f>Table32[[#This Row],[Revenue]]-Table32[[#This Row],[Cost]]</f>
        <v>5750</v>
      </c>
      <c r="L680" s="6">
        <f>Table32[[#This Row],[Net Profit]]/Table32[[#This Row],[Cost]]</f>
        <v>1.6666666666666667</v>
      </c>
      <c r="M680">
        <v>9200</v>
      </c>
      <c r="N680" s="7">
        <f>Table32[[#This Row],[Cost]]/Table32[[#This Row],[Units Sold]]</f>
        <v>1.5</v>
      </c>
      <c r="O680">
        <v>3450</v>
      </c>
      <c r="T680" s="1"/>
    </row>
    <row r="681" spans="1:20">
      <c r="A681">
        <v>4</v>
      </c>
      <c r="B681">
        <v>745887</v>
      </c>
      <c r="C681" t="s">
        <v>14</v>
      </c>
      <c r="D681" s="2">
        <v>1817</v>
      </c>
      <c r="E681" s="1">
        <v>44166</v>
      </c>
      <c r="F681">
        <v>1</v>
      </c>
      <c r="G681">
        <v>12</v>
      </c>
      <c r="H681">
        <v>2020</v>
      </c>
      <c r="I681" s="5">
        <f>(Table32[[#This Row],[Revenue]]/Table32[[#This Row],[Units Sold]])</f>
        <v>3</v>
      </c>
      <c r="J681" s="5">
        <f>Table32[[#This Row],[revenue/unit]]-Table32[[#This Row],[Cost/unit]]</f>
        <v>1.75</v>
      </c>
      <c r="K681">
        <f>Table32[[#This Row],[Revenue]]-Table32[[#This Row],[Cost]]</f>
        <v>3179.75</v>
      </c>
      <c r="L681" s="6">
        <f>Table32[[#This Row],[Net Profit]]/Table32[[#This Row],[Cost]]</f>
        <v>1.4</v>
      </c>
      <c r="M681">
        <v>5451</v>
      </c>
      <c r="N681" s="7">
        <f>Table32[[#This Row],[Cost]]/Table32[[#This Row],[Units Sold]]</f>
        <v>1.25</v>
      </c>
      <c r="O681">
        <v>2271.25</v>
      </c>
      <c r="T681" s="1"/>
    </row>
    <row r="682" spans="1:20">
      <c r="A682">
        <v>4</v>
      </c>
      <c r="B682">
        <v>752965</v>
      </c>
      <c r="C682" t="s">
        <v>14</v>
      </c>
      <c r="D682" s="2">
        <v>2729</v>
      </c>
      <c r="E682" s="1">
        <v>44166</v>
      </c>
      <c r="F682">
        <v>1</v>
      </c>
      <c r="G682">
        <v>12</v>
      </c>
      <c r="H682">
        <v>2020</v>
      </c>
      <c r="I682" s="5">
        <f>(Table32[[#This Row],[Revenue]]/Table32[[#This Row],[Units Sold]])</f>
        <v>3</v>
      </c>
      <c r="J682" s="5">
        <f>Table32[[#This Row],[revenue/unit]]-Table32[[#This Row],[Cost/unit]]</f>
        <v>1.75</v>
      </c>
      <c r="K682">
        <f>Table32[[#This Row],[Revenue]]-Table32[[#This Row],[Cost]]</f>
        <v>4775.75</v>
      </c>
      <c r="L682" s="6">
        <f>Table32[[#This Row],[Net Profit]]/Table32[[#This Row],[Cost]]</f>
        <v>1.4</v>
      </c>
      <c r="M682">
        <v>8187</v>
      </c>
      <c r="N682" s="7">
        <f>Table32[[#This Row],[Cost]]/Table32[[#This Row],[Units Sold]]</f>
        <v>1.25</v>
      </c>
      <c r="O682">
        <v>3411.25</v>
      </c>
      <c r="T682" s="1"/>
    </row>
    <row r="683" spans="1:20">
      <c r="A683">
        <v>2</v>
      </c>
      <c r="B683">
        <v>774130</v>
      </c>
      <c r="C683" t="s">
        <v>14</v>
      </c>
      <c r="D683" s="2">
        <v>2663</v>
      </c>
      <c r="E683" s="1">
        <v>44166</v>
      </c>
      <c r="F683">
        <v>1</v>
      </c>
      <c r="G683">
        <v>12</v>
      </c>
      <c r="H683">
        <v>2020</v>
      </c>
      <c r="I683" s="5">
        <f>(Table32[[#This Row],[Revenue]]/Table32[[#This Row],[Units Sold]])</f>
        <v>3</v>
      </c>
      <c r="J683" s="5">
        <f>Table32[[#This Row],[revenue/unit]]-Table32[[#This Row],[Cost/unit]]</f>
        <v>1.75</v>
      </c>
      <c r="K683">
        <f>Table32[[#This Row],[Revenue]]-Table32[[#This Row],[Cost]]</f>
        <v>4660.25</v>
      </c>
      <c r="L683" s="6">
        <f>Table32[[#This Row],[Net Profit]]/Table32[[#This Row],[Cost]]</f>
        <v>1.4</v>
      </c>
      <c r="M683">
        <v>7989</v>
      </c>
      <c r="N683" s="7">
        <f>Table32[[#This Row],[Cost]]/Table32[[#This Row],[Units Sold]]</f>
        <v>1.25</v>
      </c>
      <c r="O683">
        <v>3328.75</v>
      </c>
      <c r="T683" s="1"/>
    </row>
    <row r="684" spans="1:20">
      <c r="A684">
        <v>2</v>
      </c>
      <c r="B684">
        <v>899502</v>
      </c>
      <c r="C684" t="s">
        <v>14</v>
      </c>
      <c r="D684" s="2">
        <v>570</v>
      </c>
      <c r="E684" s="1">
        <v>44166</v>
      </c>
      <c r="F684">
        <v>1</v>
      </c>
      <c r="G684">
        <v>12</v>
      </c>
      <c r="H684">
        <v>2020</v>
      </c>
      <c r="I684" s="5">
        <f>(Table32[[#This Row],[Revenue]]/Table32[[#This Row],[Units Sold]])</f>
        <v>3</v>
      </c>
      <c r="J684" s="5">
        <f>Table32[[#This Row],[revenue/unit]]-Table32[[#This Row],[Cost/unit]]</f>
        <v>1.75</v>
      </c>
      <c r="K684">
        <f>Table32[[#This Row],[Revenue]]-Table32[[#This Row],[Cost]]</f>
        <v>997.5</v>
      </c>
      <c r="L684" s="6">
        <f>Table32[[#This Row],[Net Profit]]/Table32[[#This Row],[Cost]]</f>
        <v>1.4</v>
      </c>
      <c r="M684">
        <v>1710</v>
      </c>
      <c r="N684" s="7">
        <f>Table32[[#This Row],[Cost]]/Table32[[#This Row],[Units Sold]]</f>
        <v>1.25</v>
      </c>
      <c r="O684">
        <v>712.5</v>
      </c>
      <c r="T684" s="1"/>
    </row>
    <row r="685" spans="1:20">
      <c r="A685">
        <v>5</v>
      </c>
      <c r="B685">
        <v>792599</v>
      </c>
      <c r="C685" t="s">
        <v>14</v>
      </c>
      <c r="D685" s="2">
        <v>2487</v>
      </c>
      <c r="E685" s="1">
        <v>44166</v>
      </c>
      <c r="F685">
        <v>1</v>
      </c>
      <c r="G685">
        <v>12</v>
      </c>
      <c r="H685">
        <v>2020</v>
      </c>
      <c r="I685" s="5">
        <f>(Table32[[#This Row],[Revenue]]/Table32[[#This Row],[Units Sold]])</f>
        <v>3</v>
      </c>
      <c r="J685" s="5">
        <f>Table32[[#This Row],[revenue/unit]]-Table32[[#This Row],[Cost/unit]]</f>
        <v>1.75</v>
      </c>
      <c r="K685">
        <f>Table32[[#This Row],[Revenue]]-Table32[[#This Row],[Cost]]</f>
        <v>4352.25</v>
      </c>
      <c r="L685" s="6">
        <f>Table32[[#This Row],[Net Profit]]/Table32[[#This Row],[Cost]]</f>
        <v>1.4</v>
      </c>
      <c r="M685">
        <v>7461</v>
      </c>
      <c r="N685" s="7">
        <f>Table32[[#This Row],[Cost]]/Table32[[#This Row],[Units Sold]]</f>
        <v>1.25</v>
      </c>
      <c r="O685">
        <v>3108.75</v>
      </c>
      <c r="T685" s="1"/>
    </row>
    <row r="686" spans="1:20">
      <c r="A686">
        <v>1</v>
      </c>
      <c r="B686">
        <v>628954</v>
      </c>
      <c r="C686" t="s">
        <v>14</v>
      </c>
      <c r="D686" s="2">
        <v>1582</v>
      </c>
      <c r="E686" s="1">
        <v>44166</v>
      </c>
      <c r="F686">
        <v>1</v>
      </c>
      <c r="G686">
        <v>12</v>
      </c>
      <c r="H686">
        <v>2020</v>
      </c>
      <c r="I686" s="5">
        <f>(Table32[[#This Row],[Revenue]]/Table32[[#This Row],[Units Sold]])</f>
        <v>3</v>
      </c>
      <c r="J686" s="5">
        <f>Table32[[#This Row],[revenue/unit]]-Table32[[#This Row],[Cost/unit]]</f>
        <v>1.75</v>
      </c>
      <c r="K686">
        <f>Table32[[#This Row],[Revenue]]-Table32[[#This Row],[Cost]]</f>
        <v>2768.5</v>
      </c>
      <c r="L686" s="6">
        <f>Table32[[#This Row],[Net Profit]]/Table32[[#This Row],[Cost]]</f>
        <v>1.4</v>
      </c>
      <c r="M686">
        <v>4746</v>
      </c>
      <c r="N686" s="7">
        <f>Table32[[#This Row],[Cost]]/Table32[[#This Row],[Units Sold]]</f>
        <v>1.25</v>
      </c>
      <c r="O686">
        <v>1977.5</v>
      </c>
      <c r="T686" s="1"/>
    </row>
    <row r="687" spans="1:20">
      <c r="A687">
        <v>1</v>
      </c>
      <c r="B687">
        <v>102288</v>
      </c>
      <c r="C687" t="s">
        <v>14</v>
      </c>
      <c r="D687" s="2">
        <v>521</v>
      </c>
      <c r="E687" s="1">
        <v>44166</v>
      </c>
      <c r="F687">
        <v>1</v>
      </c>
      <c r="G687">
        <v>12</v>
      </c>
      <c r="H687">
        <v>2020</v>
      </c>
      <c r="I687" s="5">
        <f>(Table32[[#This Row],[Revenue]]/Table32[[#This Row],[Units Sold]])</f>
        <v>3</v>
      </c>
      <c r="J687" s="5">
        <f>Table32[[#This Row],[revenue/unit]]-Table32[[#This Row],[Cost/unit]]</f>
        <v>1.75</v>
      </c>
      <c r="K687">
        <f>Table32[[#This Row],[Revenue]]-Table32[[#This Row],[Cost]]</f>
        <v>911.75</v>
      </c>
      <c r="L687" s="6">
        <f>Table32[[#This Row],[Net Profit]]/Table32[[#This Row],[Cost]]</f>
        <v>1.4</v>
      </c>
      <c r="M687">
        <v>1563</v>
      </c>
      <c r="N687" s="7">
        <f>Table32[[#This Row],[Cost]]/Table32[[#This Row],[Units Sold]]</f>
        <v>1.25</v>
      </c>
      <c r="O687">
        <v>651.25</v>
      </c>
      <c r="T687" s="1"/>
    </row>
    <row r="688" spans="1:20">
      <c r="A688">
        <v>3</v>
      </c>
      <c r="B688">
        <v>871331</v>
      </c>
      <c r="C688" t="s">
        <v>14</v>
      </c>
      <c r="D688" s="2">
        <v>1233</v>
      </c>
      <c r="E688" s="1">
        <v>44166</v>
      </c>
      <c r="F688">
        <v>1</v>
      </c>
      <c r="G688">
        <v>12</v>
      </c>
      <c r="H688">
        <v>2020</v>
      </c>
      <c r="I688" s="5">
        <f>(Table32[[#This Row],[Revenue]]/Table32[[#This Row],[Units Sold]])</f>
        <v>3</v>
      </c>
      <c r="J688" s="5">
        <f>Table32[[#This Row],[revenue/unit]]-Table32[[#This Row],[Cost/unit]]</f>
        <v>1.75</v>
      </c>
      <c r="K688">
        <f>Table32[[#This Row],[Revenue]]-Table32[[#This Row],[Cost]]</f>
        <v>2157.75</v>
      </c>
      <c r="L688" s="6">
        <f>Table32[[#This Row],[Net Profit]]/Table32[[#This Row],[Cost]]</f>
        <v>1.4</v>
      </c>
      <c r="M688">
        <v>3699</v>
      </c>
      <c r="N688" s="7">
        <f>Table32[[#This Row],[Cost]]/Table32[[#This Row],[Units Sold]]</f>
        <v>1.25</v>
      </c>
      <c r="O688">
        <v>1541.25</v>
      </c>
      <c r="T688" s="1"/>
    </row>
    <row r="689" spans="1:20">
      <c r="A689">
        <v>4</v>
      </c>
      <c r="B689">
        <v>521663</v>
      </c>
      <c r="C689" t="s">
        <v>14</v>
      </c>
      <c r="D689" s="2">
        <v>1531</v>
      </c>
      <c r="E689" s="1">
        <v>44166</v>
      </c>
      <c r="F689">
        <v>1</v>
      </c>
      <c r="G689">
        <v>12</v>
      </c>
      <c r="H689">
        <v>2020</v>
      </c>
      <c r="I689" s="5">
        <f>(Table32[[#This Row],[Revenue]]/Table32[[#This Row],[Units Sold]])</f>
        <v>3</v>
      </c>
      <c r="J689" s="5">
        <f>Table32[[#This Row],[revenue/unit]]-Table32[[#This Row],[Cost/unit]]</f>
        <v>1.75</v>
      </c>
      <c r="K689">
        <f>Table32[[#This Row],[Revenue]]-Table32[[#This Row],[Cost]]</f>
        <v>2679.25</v>
      </c>
      <c r="L689" s="6">
        <f>Table32[[#This Row],[Net Profit]]/Table32[[#This Row],[Cost]]</f>
        <v>1.4</v>
      </c>
      <c r="M689">
        <v>4593</v>
      </c>
      <c r="N689" s="7">
        <f>Table32[[#This Row],[Cost]]/Table32[[#This Row],[Units Sold]]</f>
        <v>1.25</v>
      </c>
      <c r="O689">
        <v>1913.75</v>
      </c>
      <c r="T689" s="1"/>
    </row>
    <row r="690" spans="1:20">
      <c r="A690">
        <v>3</v>
      </c>
      <c r="B690">
        <v>528145</v>
      </c>
      <c r="C690" t="s">
        <v>14</v>
      </c>
      <c r="D690" s="2">
        <v>280</v>
      </c>
      <c r="E690" s="1">
        <v>44166</v>
      </c>
      <c r="F690">
        <v>1</v>
      </c>
      <c r="G690">
        <v>12</v>
      </c>
      <c r="H690">
        <v>2020</v>
      </c>
      <c r="I690" s="5">
        <f>(Table32[[#This Row],[Revenue]]/Table32[[#This Row],[Units Sold]])</f>
        <v>3</v>
      </c>
      <c r="J690" s="5">
        <f>Table32[[#This Row],[revenue/unit]]-Table32[[#This Row],[Cost/unit]]</f>
        <v>1.75</v>
      </c>
      <c r="K690">
        <f>Table32[[#This Row],[Revenue]]-Table32[[#This Row],[Cost]]</f>
        <v>490</v>
      </c>
      <c r="L690" s="6">
        <f>Table32[[#This Row],[Net Profit]]/Table32[[#This Row],[Cost]]</f>
        <v>1.4</v>
      </c>
      <c r="M690">
        <v>840</v>
      </c>
      <c r="N690" s="7">
        <f>Table32[[#This Row],[Cost]]/Table32[[#This Row],[Units Sold]]</f>
        <v>1.25</v>
      </c>
      <c r="O690">
        <v>350</v>
      </c>
      <c r="T690" s="1"/>
    </row>
    <row r="691" spans="1:20">
      <c r="A691">
        <v>1</v>
      </c>
      <c r="B691">
        <v>887151</v>
      </c>
      <c r="C691" t="s">
        <v>14</v>
      </c>
      <c r="D691" s="2">
        <v>293</v>
      </c>
      <c r="E691" s="1">
        <v>44166</v>
      </c>
      <c r="F691">
        <v>1</v>
      </c>
      <c r="G691">
        <v>12</v>
      </c>
      <c r="H691">
        <v>2020</v>
      </c>
      <c r="I691" s="5">
        <f>(Table32[[#This Row],[Revenue]]/Table32[[#This Row],[Units Sold]])</f>
        <v>3</v>
      </c>
      <c r="J691" s="5">
        <f>Table32[[#This Row],[revenue/unit]]-Table32[[#This Row],[Cost/unit]]</f>
        <v>1.75</v>
      </c>
      <c r="K691">
        <f>Table32[[#This Row],[Revenue]]-Table32[[#This Row],[Cost]]</f>
        <v>512.75</v>
      </c>
      <c r="L691" s="6">
        <f>Table32[[#This Row],[Net Profit]]/Table32[[#This Row],[Cost]]</f>
        <v>1.4</v>
      </c>
      <c r="M691">
        <v>879</v>
      </c>
      <c r="N691" s="7">
        <f>Table32[[#This Row],[Cost]]/Table32[[#This Row],[Units Sold]]</f>
        <v>1.25</v>
      </c>
      <c r="O691">
        <v>366.25</v>
      </c>
      <c r="T691" s="1"/>
    </row>
    <row r="692" spans="1:20">
      <c r="A692">
        <v>3</v>
      </c>
      <c r="B692">
        <v>367956</v>
      </c>
      <c r="C692" t="s">
        <v>15</v>
      </c>
      <c r="D692" s="2">
        <v>1055</v>
      </c>
      <c r="E692" s="1">
        <v>44166</v>
      </c>
      <c r="F692">
        <v>1</v>
      </c>
      <c r="G692">
        <v>12</v>
      </c>
      <c r="H692">
        <v>2020</v>
      </c>
      <c r="I692" s="5">
        <f>(Table32[[#This Row],[Revenue]]/Table32[[#This Row],[Units Sold]])</f>
        <v>6</v>
      </c>
      <c r="J692" s="5">
        <f>Table32[[#This Row],[revenue/unit]]-Table32[[#This Row],[Cost/unit]]</f>
        <v>3.25</v>
      </c>
      <c r="K692">
        <f>Table32[[#This Row],[Revenue]]-Table32[[#This Row],[Cost]]</f>
        <v>3428.75</v>
      </c>
      <c r="L692" s="6">
        <f>Table32[[#This Row],[Net Profit]]/Table32[[#This Row],[Cost]]</f>
        <v>1.1818181818181819</v>
      </c>
      <c r="M692">
        <v>6330</v>
      </c>
      <c r="N692" s="7">
        <f>Table32[[#This Row],[Cost]]/Table32[[#This Row],[Units Sold]]</f>
        <v>2.75</v>
      </c>
      <c r="O692">
        <v>2901.25</v>
      </c>
      <c r="T692" s="1"/>
    </row>
    <row r="693" spans="1:20">
      <c r="A693">
        <v>2</v>
      </c>
      <c r="B693">
        <v>765978</v>
      </c>
      <c r="C693" t="s">
        <v>15</v>
      </c>
      <c r="D693" s="2">
        <v>1084</v>
      </c>
      <c r="E693" s="1">
        <v>44166</v>
      </c>
      <c r="F693">
        <v>1</v>
      </c>
      <c r="G693">
        <v>12</v>
      </c>
      <c r="H693">
        <v>2020</v>
      </c>
      <c r="I693" s="5">
        <f>(Table32[[#This Row],[Revenue]]/Table32[[#This Row],[Units Sold]])</f>
        <v>6</v>
      </c>
      <c r="J693" s="5">
        <f>Table32[[#This Row],[revenue/unit]]-Table32[[#This Row],[Cost/unit]]</f>
        <v>3.25</v>
      </c>
      <c r="K693">
        <f>Table32[[#This Row],[Revenue]]-Table32[[#This Row],[Cost]]</f>
        <v>3523</v>
      </c>
      <c r="L693" s="6">
        <f>Table32[[#This Row],[Net Profit]]/Table32[[#This Row],[Cost]]</f>
        <v>1.1818181818181819</v>
      </c>
      <c r="M693">
        <v>6504</v>
      </c>
      <c r="N693" s="7">
        <f>Table32[[#This Row],[Cost]]/Table32[[#This Row],[Units Sold]]</f>
        <v>2.75</v>
      </c>
      <c r="O693">
        <v>2981</v>
      </c>
      <c r="T693" s="1"/>
    </row>
    <row r="694" spans="1:20">
      <c r="A694">
        <v>4</v>
      </c>
      <c r="B694">
        <v>673372</v>
      </c>
      <c r="C694" t="s">
        <v>15</v>
      </c>
      <c r="D694" s="2">
        <v>2431</v>
      </c>
      <c r="E694" s="1">
        <v>44166</v>
      </c>
      <c r="F694">
        <v>1</v>
      </c>
      <c r="G694">
        <v>12</v>
      </c>
      <c r="H694">
        <v>2020</v>
      </c>
      <c r="I694" s="5">
        <f>(Table32[[#This Row],[Revenue]]/Table32[[#This Row],[Units Sold]])</f>
        <v>6</v>
      </c>
      <c r="J694" s="5">
        <f>Table32[[#This Row],[revenue/unit]]-Table32[[#This Row],[Cost/unit]]</f>
        <v>3.25</v>
      </c>
      <c r="K694">
        <f>Table32[[#This Row],[Revenue]]-Table32[[#This Row],[Cost]]</f>
        <v>7900.75</v>
      </c>
      <c r="L694" s="6">
        <f>Table32[[#This Row],[Net Profit]]/Table32[[#This Row],[Cost]]</f>
        <v>1.1818181818181819</v>
      </c>
      <c r="M694">
        <v>14586</v>
      </c>
      <c r="N694" s="7">
        <f>Table32[[#This Row],[Cost]]/Table32[[#This Row],[Units Sold]]</f>
        <v>2.75</v>
      </c>
      <c r="O694">
        <v>6685.25</v>
      </c>
      <c r="T694" s="1"/>
    </row>
    <row r="695" spans="1:20">
      <c r="A695">
        <v>2</v>
      </c>
      <c r="B695">
        <v>553803</v>
      </c>
      <c r="C695" t="s">
        <v>15</v>
      </c>
      <c r="D695" s="2">
        <v>1250</v>
      </c>
      <c r="E695" s="1">
        <v>44166</v>
      </c>
      <c r="F695">
        <v>1</v>
      </c>
      <c r="G695">
        <v>12</v>
      </c>
      <c r="H695">
        <v>2020</v>
      </c>
      <c r="I695" s="5">
        <f>(Table32[[#This Row],[Revenue]]/Table32[[#This Row],[Units Sold]])</f>
        <v>6</v>
      </c>
      <c r="J695" s="5">
        <f>Table32[[#This Row],[revenue/unit]]-Table32[[#This Row],[Cost/unit]]</f>
        <v>3.25</v>
      </c>
      <c r="K695">
        <f>Table32[[#This Row],[Revenue]]-Table32[[#This Row],[Cost]]</f>
        <v>4062.5</v>
      </c>
      <c r="L695" s="6">
        <f>Table32[[#This Row],[Net Profit]]/Table32[[#This Row],[Cost]]</f>
        <v>1.1818181818181819</v>
      </c>
      <c r="M695">
        <v>7500</v>
      </c>
      <c r="N695" s="7">
        <f>Table32[[#This Row],[Cost]]/Table32[[#This Row],[Units Sold]]</f>
        <v>2.75</v>
      </c>
      <c r="O695">
        <v>3437.5</v>
      </c>
      <c r="T695" s="1"/>
    </row>
    <row r="696" spans="1:20">
      <c r="A696">
        <v>2</v>
      </c>
      <c r="B696">
        <v>818350</v>
      </c>
      <c r="C696" t="s">
        <v>15</v>
      </c>
      <c r="D696" s="2">
        <v>1582</v>
      </c>
      <c r="E696" s="1">
        <v>44166</v>
      </c>
      <c r="F696">
        <v>1</v>
      </c>
      <c r="G696">
        <v>12</v>
      </c>
      <c r="H696">
        <v>2020</v>
      </c>
      <c r="I696" s="5">
        <f>(Table32[[#This Row],[Revenue]]/Table32[[#This Row],[Units Sold]])</f>
        <v>6</v>
      </c>
      <c r="J696" s="5">
        <f>Table32[[#This Row],[revenue/unit]]-Table32[[#This Row],[Cost/unit]]</f>
        <v>3.25</v>
      </c>
      <c r="K696">
        <f>Table32[[#This Row],[Revenue]]-Table32[[#This Row],[Cost]]</f>
        <v>5141.5</v>
      </c>
      <c r="L696" s="6">
        <f>Table32[[#This Row],[Net Profit]]/Table32[[#This Row],[Cost]]</f>
        <v>1.1818181818181819</v>
      </c>
      <c r="M696">
        <v>9492</v>
      </c>
      <c r="N696" s="7">
        <f>Table32[[#This Row],[Cost]]/Table32[[#This Row],[Units Sold]]</f>
        <v>2.75</v>
      </c>
      <c r="O696">
        <v>4350.5</v>
      </c>
      <c r="T696" s="1"/>
    </row>
    <row r="697" spans="1:20">
      <c r="A697">
        <v>4</v>
      </c>
      <c r="B697">
        <v>640346</v>
      </c>
      <c r="C697" t="s">
        <v>15</v>
      </c>
      <c r="D697" s="2">
        <v>1372</v>
      </c>
      <c r="E697" s="1">
        <v>44166</v>
      </c>
      <c r="F697">
        <v>1</v>
      </c>
      <c r="G697">
        <v>12</v>
      </c>
      <c r="H697">
        <v>2020</v>
      </c>
      <c r="I697" s="5">
        <f>(Table32[[#This Row],[Revenue]]/Table32[[#This Row],[Units Sold]])</f>
        <v>6</v>
      </c>
      <c r="J697" s="5">
        <f>Table32[[#This Row],[revenue/unit]]-Table32[[#This Row],[Cost/unit]]</f>
        <v>3.25</v>
      </c>
      <c r="K697">
        <f>Table32[[#This Row],[Revenue]]-Table32[[#This Row],[Cost]]</f>
        <v>4459</v>
      </c>
      <c r="L697" s="6">
        <f>Table32[[#This Row],[Net Profit]]/Table32[[#This Row],[Cost]]</f>
        <v>1.1818181818181819</v>
      </c>
      <c r="M697">
        <v>8232</v>
      </c>
      <c r="N697" s="7">
        <f>Table32[[#This Row],[Cost]]/Table32[[#This Row],[Units Sold]]</f>
        <v>2.75</v>
      </c>
      <c r="O697">
        <v>3773</v>
      </c>
      <c r="T697" s="1"/>
    </row>
    <row r="698" spans="1:20">
      <c r="A698">
        <v>3</v>
      </c>
      <c r="B698">
        <v>751314</v>
      </c>
      <c r="C698" t="s">
        <v>15</v>
      </c>
      <c r="D698" s="2">
        <v>635</v>
      </c>
      <c r="E698" s="1">
        <v>44166</v>
      </c>
      <c r="F698">
        <v>1</v>
      </c>
      <c r="G698">
        <v>12</v>
      </c>
      <c r="H698">
        <v>2020</v>
      </c>
      <c r="I698" s="5">
        <f>(Table32[[#This Row],[Revenue]]/Table32[[#This Row],[Units Sold]])</f>
        <v>6</v>
      </c>
      <c r="J698" s="5">
        <f>Table32[[#This Row],[revenue/unit]]-Table32[[#This Row],[Cost/unit]]</f>
        <v>3.25</v>
      </c>
      <c r="K698">
        <f>Table32[[#This Row],[Revenue]]-Table32[[#This Row],[Cost]]</f>
        <v>2063.75</v>
      </c>
      <c r="L698" s="6">
        <f>Table32[[#This Row],[Net Profit]]/Table32[[#This Row],[Cost]]</f>
        <v>1.1818181818181819</v>
      </c>
      <c r="M698">
        <v>3810</v>
      </c>
      <c r="N698" s="7">
        <f>Table32[[#This Row],[Cost]]/Table32[[#This Row],[Units Sold]]</f>
        <v>2.75</v>
      </c>
      <c r="O698">
        <v>1746.25</v>
      </c>
      <c r="T698" s="1"/>
    </row>
    <row r="699" spans="1:20">
      <c r="A699">
        <v>1</v>
      </c>
      <c r="B699">
        <v>428131</v>
      </c>
      <c r="C699" t="s">
        <v>15</v>
      </c>
      <c r="D699" s="2">
        <v>853</v>
      </c>
      <c r="E699" s="1">
        <v>44166</v>
      </c>
      <c r="F699">
        <v>1</v>
      </c>
      <c r="G699">
        <v>12</v>
      </c>
      <c r="H699">
        <v>2020</v>
      </c>
      <c r="I699" s="5">
        <f>(Table32[[#This Row],[Revenue]]/Table32[[#This Row],[Units Sold]])</f>
        <v>6</v>
      </c>
      <c r="J699" s="5">
        <f>Table32[[#This Row],[revenue/unit]]-Table32[[#This Row],[Cost/unit]]</f>
        <v>3.25</v>
      </c>
      <c r="K699">
        <f>Table32[[#This Row],[Revenue]]-Table32[[#This Row],[Cost]]</f>
        <v>2772.25</v>
      </c>
      <c r="L699" s="6">
        <f>Table32[[#This Row],[Net Profit]]/Table32[[#This Row],[Cost]]</f>
        <v>1.1818181818181819</v>
      </c>
      <c r="M699">
        <v>5118</v>
      </c>
      <c r="N699" s="7">
        <f>Table32[[#This Row],[Cost]]/Table32[[#This Row],[Units Sold]]</f>
        <v>2.75</v>
      </c>
      <c r="O699">
        <v>2345.75</v>
      </c>
      <c r="T699" s="1"/>
    </row>
    <row r="700" spans="1:20">
      <c r="A700">
        <v>3</v>
      </c>
      <c r="B700">
        <v>758487</v>
      </c>
      <c r="C700" t="s">
        <v>15</v>
      </c>
      <c r="D700" s="2">
        <v>1013</v>
      </c>
      <c r="E700" s="1">
        <v>44166</v>
      </c>
      <c r="F700">
        <v>1</v>
      </c>
      <c r="G700">
        <v>12</v>
      </c>
      <c r="H700">
        <v>2020</v>
      </c>
      <c r="I700" s="5">
        <f>(Table32[[#This Row],[Revenue]]/Table32[[#This Row],[Units Sold]])</f>
        <v>6</v>
      </c>
      <c r="J700" s="5">
        <f>Table32[[#This Row],[revenue/unit]]-Table32[[#This Row],[Cost/unit]]</f>
        <v>3.25</v>
      </c>
      <c r="K700">
        <f>Table32[[#This Row],[Revenue]]-Table32[[#This Row],[Cost]]</f>
        <v>3292.25</v>
      </c>
      <c r="L700" s="6">
        <f>Table32[[#This Row],[Net Profit]]/Table32[[#This Row],[Cost]]</f>
        <v>1.1818181818181819</v>
      </c>
      <c r="M700">
        <v>6078</v>
      </c>
      <c r="N700" s="7">
        <f>Table32[[#This Row],[Cost]]/Table32[[#This Row],[Units Sold]]</f>
        <v>2.75</v>
      </c>
      <c r="O700">
        <v>2785.75</v>
      </c>
      <c r="T700" s="1"/>
    </row>
    <row r="701" spans="1:20">
      <c r="A701">
        <v>4</v>
      </c>
      <c r="B701">
        <v>414628</v>
      </c>
      <c r="C701" t="s">
        <v>15</v>
      </c>
      <c r="D701" s="2">
        <v>914</v>
      </c>
      <c r="E701" s="1">
        <v>44166</v>
      </c>
      <c r="F701">
        <v>1</v>
      </c>
      <c r="G701">
        <v>12</v>
      </c>
      <c r="H701">
        <v>2020</v>
      </c>
      <c r="I701" s="5">
        <f>(Table32[[#This Row],[Revenue]]/Table32[[#This Row],[Units Sold]])</f>
        <v>6</v>
      </c>
      <c r="J701" s="5">
        <f>Table32[[#This Row],[revenue/unit]]-Table32[[#This Row],[Cost/unit]]</f>
        <v>3.25</v>
      </c>
      <c r="K701">
        <f>Table32[[#This Row],[Revenue]]-Table32[[#This Row],[Cost]]</f>
        <v>2970.5</v>
      </c>
      <c r="L701" s="6">
        <f>Table32[[#This Row],[Net Profit]]/Table32[[#This Row],[Cost]]</f>
        <v>1.1818181818181819</v>
      </c>
      <c r="M701">
        <v>5484</v>
      </c>
      <c r="N701" s="7">
        <f>Table32[[#This Row],[Cost]]/Table32[[#This Row],[Units Sold]]</f>
        <v>2.75</v>
      </c>
      <c r="O701">
        <v>2513.5</v>
      </c>
      <c r="T701" s="1"/>
    </row>
    <row r="702" spans="1:20">
      <c r="N702" s="1"/>
      <c r="O702" s="1"/>
    </row>
    <row r="703" spans="1:20">
      <c r="N703" s="1"/>
      <c r="O703" s="1"/>
    </row>
    <row r="704" spans="1:20">
      <c r="N704" s="1"/>
      <c r="O704" s="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C8FD-56F0-469D-9F2E-3F0426D544DB}">
  <dimension ref="A20:D39"/>
  <sheetViews>
    <sheetView workbookViewId="0">
      <selection activeCell="C28" sqref="A20:D39"/>
    </sheetView>
  </sheetViews>
  <sheetFormatPr defaultRowHeight="15"/>
  <cols>
    <col min="1" max="1" width="11.42578125" bestFit="1" customWidth="1"/>
    <col min="2" max="2" width="10" customWidth="1"/>
    <col min="3" max="3" width="15.28515625" bestFit="1" customWidth="1"/>
    <col min="4" max="4" width="11.5703125" bestFit="1" customWidth="1"/>
    <col min="5" max="5" width="12.28515625" bestFit="1" customWidth="1"/>
    <col min="6" max="6" width="12.140625" bestFit="1" customWidth="1"/>
    <col min="7" max="7" width="11.42578125" bestFit="1" customWidth="1"/>
    <col min="8" max="8" width="7" bestFit="1" customWidth="1"/>
    <col min="9" max="9" width="5.140625" bestFit="1" customWidth="1"/>
    <col min="10" max="10" width="7" bestFit="1" customWidth="1"/>
    <col min="11" max="11" width="5.140625" bestFit="1" customWidth="1"/>
    <col min="12" max="12" width="7" bestFit="1" customWidth="1"/>
    <col min="13" max="13" width="5.140625" bestFit="1" customWidth="1"/>
    <col min="14" max="14" width="7" bestFit="1" customWidth="1"/>
    <col min="15" max="15" width="5.140625" bestFit="1" customWidth="1"/>
    <col min="16" max="16" width="7" bestFit="1" customWidth="1"/>
    <col min="17" max="18" width="5.140625" bestFit="1" customWidth="1"/>
    <col min="19" max="19" width="7" bestFit="1" customWidth="1"/>
    <col min="20" max="21" width="5.140625" bestFit="1" customWidth="1"/>
    <col min="22" max="22" width="8" bestFit="1" customWidth="1"/>
    <col min="23" max="24" width="5.140625" bestFit="1" customWidth="1"/>
    <col min="25" max="25" width="8" bestFit="1" customWidth="1"/>
    <col min="26" max="27" width="5.140625" bestFit="1" customWidth="1"/>
    <col min="28" max="28" width="8" bestFit="1" customWidth="1"/>
    <col min="29" max="29" width="7" bestFit="1" customWidth="1"/>
    <col min="30" max="30" width="9" bestFit="1" customWidth="1"/>
    <col min="31" max="32" width="12.140625" bestFit="1" customWidth="1"/>
    <col min="33" max="34" width="11.42578125" bestFit="1" customWidth="1"/>
  </cols>
  <sheetData>
    <row r="20" spans="1:4">
      <c r="A20" s="4" t="s">
        <v>7</v>
      </c>
      <c r="B20" s="4" t="s">
        <v>6</v>
      </c>
      <c r="C20" t="s">
        <v>21</v>
      </c>
      <c r="D20" t="s">
        <v>22</v>
      </c>
    </row>
    <row r="21" spans="1:4">
      <c r="A21">
        <v>2019</v>
      </c>
      <c r="B21">
        <v>9</v>
      </c>
      <c r="C21" s="9">
        <v>212076</v>
      </c>
      <c r="D21" s="9">
        <v>89249.450000000012</v>
      </c>
    </row>
    <row r="22" spans="1:4">
      <c r="B22">
        <v>10</v>
      </c>
      <c r="C22" s="9">
        <v>386395</v>
      </c>
      <c r="D22" s="9">
        <v>163401.79999999999</v>
      </c>
    </row>
    <row r="23" spans="1:4">
      <c r="B23">
        <v>11</v>
      </c>
      <c r="C23" s="9">
        <v>272112</v>
      </c>
      <c r="D23" s="9">
        <v>114230.04999999999</v>
      </c>
    </row>
    <row r="24" spans="1:4">
      <c r="B24">
        <v>12</v>
      </c>
      <c r="C24" s="9">
        <v>232566</v>
      </c>
      <c r="D24" s="9">
        <v>97497.549999999988</v>
      </c>
    </row>
    <row r="25" spans="1:4">
      <c r="A25" t="s">
        <v>23</v>
      </c>
      <c r="C25" s="9">
        <v>1103149</v>
      </c>
      <c r="D25" s="9">
        <v>464378.85</v>
      </c>
    </row>
    <row r="26" spans="1:4">
      <c r="A26">
        <v>2020</v>
      </c>
      <c r="B26">
        <v>1</v>
      </c>
      <c r="C26" s="9">
        <v>291833.5</v>
      </c>
      <c r="D26" s="9">
        <v>122837.90000000001</v>
      </c>
    </row>
    <row r="27" spans="1:4">
      <c r="B27">
        <v>2</v>
      </c>
      <c r="C27" s="9">
        <v>231925</v>
      </c>
      <c r="D27" s="9">
        <v>97578.25</v>
      </c>
    </row>
    <row r="28" spans="1:4">
      <c r="B28">
        <v>3</v>
      </c>
      <c r="C28" s="9">
        <v>219071</v>
      </c>
      <c r="D28" s="9">
        <v>92071.95</v>
      </c>
    </row>
    <row r="29" spans="1:4">
      <c r="B29">
        <v>4</v>
      </c>
      <c r="C29" s="9">
        <v>333354.5</v>
      </c>
      <c r="D29" s="9">
        <v>139620.27500000002</v>
      </c>
    </row>
    <row r="30" spans="1:4">
      <c r="B30">
        <v>5</v>
      </c>
      <c r="C30" s="9">
        <v>215866</v>
      </c>
      <c r="D30" s="9">
        <v>91499.15</v>
      </c>
    </row>
    <row r="31" spans="1:4">
      <c r="B31">
        <v>6</v>
      </c>
      <c r="C31" s="9">
        <v>426848</v>
      </c>
      <c r="D31" s="9">
        <v>180253.25</v>
      </c>
    </row>
    <row r="32" spans="1:4">
      <c r="B32">
        <v>7</v>
      </c>
      <c r="C32" s="9">
        <v>296147.5</v>
      </c>
      <c r="D32" s="9">
        <v>125398.09999999999</v>
      </c>
    </row>
    <row r="33" spans="1:4">
      <c r="B33">
        <v>8</v>
      </c>
      <c r="C33" s="9">
        <v>261755</v>
      </c>
      <c r="D33" s="9">
        <v>110260.5</v>
      </c>
    </row>
    <row r="34" spans="1:4">
      <c r="B34">
        <v>9</v>
      </c>
      <c r="C34" s="9">
        <v>238774</v>
      </c>
      <c r="D34" s="9">
        <v>100156.25</v>
      </c>
    </row>
    <row r="35" spans="1:4">
      <c r="B35">
        <v>10</v>
      </c>
      <c r="C35" s="9">
        <v>434637</v>
      </c>
      <c r="D35" s="9">
        <v>182717.15000000002</v>
      </c>
    </row>
    <row r="36" spans="1:4">
      <c r="B36">
        <v>11</v>
      </c>
      <c r="C36" s="9">
        <v>217879</v>
      </c>
      <c r="D36" s="9">
        <v>91395.549999999988</v>
      </c>
    </row>
    <row r="37" spans="1:4">
      <c r="B37">
        <v>12</v>
      </c>
      <c r="C37" s="9">
        <v>419011</v>
      </c>
      <c r="D37" s="9">
        <v>175018.94999999998</v>
      </c>
    </row>
    <row r="38" spans="1:4">
      <c r="A38" t="s">
        <v>24</v>
      </c>
      <c r="C38" s="9">
        <v>3587101.5</v>
      </c>
      <c r="D38" s="9">
        <v>1508807.2749999999</v>
      </c>
    </row>
    <row r="39" spans="1:4">
      <c r="A39" t="s">
        <v>25</v>
      </c>
      <c r="C39" s="9">
        <v>4690250.5</v>
      </c>
      <c r="D39" s="9">
        <v>1973186.125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A128-8A5E-4CB7-9AB3-93C880C187EC}">
  <dimension ref="A3:H10"/>
  <sheetViews>
    <sheetView workbookViewId="0">
      <selection activeCell="E12" sqref="E12"/>
    </sheetView>
  </sheetViews>
  <sheetFormatPr defaultRowHeight="15"/>
  <cols>
    <col min="1" max="1" width="16.5703125" bestFit="1" customWidth="1"/>
    <col min="2" max="2" width="14.140625" bestFit="1" customWidth="1"/>
    <col min="3" max="3" width="7.85546875" bestFit="1" customWidth="1"/>
    <col min="4" max="4" width="30.42578125" bestFit="1" customWidth="1"/>
    <col min="5" max="5" width="14.28515625" bestFit="1" customWidth="1"/>
    <col min="6" max="6" width="14.42578125" bestFit="1" customWidth="1"/>
    <col min="7" max="7" width="13.5703125" bestFit="1" customWidth="1"/>
    <col min="8" max="9" width="11.42578125" bestFit="1" customWidth="1"/>
    <col min="10" max="10" width="15.28515625" bestFit="1" customWidth="1"/>
    <col min="11" max="11" width="11.42578125" bestFit="1" customWidth="1"/>
    <col min="12" max="12" width="30.42578125" bestFit="1" customWidth="1"/>
    <col min="13" max="13" width="11.42578125" bestFit="1" customWidth="1"/>
    <col min="14" max="14" width="20.28515625" bestFit="1" customWidth="1"/>
    <col min="15" max="15" width="16.42578125" bestFit="1" customWidth="1"/>
    <col min="16" max="16" width="7" bestFit="1" customWidth="1"/>
    <col min="17" max="18" width="5.140625" bestFit="1" customWidth="1"/>
    <col min="19" max="19" width="7" bestFit="1" customWidth="1"/>
    <col min="20" max="21" width="5.140625" bestFit="1" customWidth="1"/>
    <col min="22" max="22" width="8" bestFit="1" customWidth="1"/>
    <col min="23" max="24" width="5.140625" bestFit="1" customWidth="1"/>
    <col min="25" max="25" width="8" bestFit="1" customWidth="1"/>
    <col min="26" max="27" width="5.140625" bestFit="1" customWidth="1"/>
    <col min="28" max="28" width="8" bestFit="1" customWidth="1"/>
    <col min="29" max="29" width="7" bestFit="1" customWidth="1"/>
    <col min="30" max="30" width="9" bestFit="1" customWidth="1"/>
    <col min="31" max="32" width="12.140625" bestFit="1" customWidth="1"/>
    <col min="33" max="34" width="11.42578125" bestFit="1" customWidth="1"/>
  </cols>
  <sheetData>
    <row r="3" spans="1:8">
      <c r="A3" s="8" t="s">
        <v>26</v>
      </c>
      <c r="B3" s="8" t="s">
        <v>2</v>
      </c>
      <c r="C3" s="3"/>
      <c r="D3" s="3"/>
      <c r="E3" s="3"/>
      <c r="F3" s="3"/>
      <c r="G3" s="3"/>
      <c r="H3" s="3"/>
    </row>
    <row r="4" spans="1:8">
      <c r="A4" s="8" t="s">
        <v>0</v>
      </c>
      <c r="B4" s="3" t="s">
        <v>10</v>
      </c>
      <c r="C4" s="3" t="s">
        <v>14</v>
      </c>
      <c r="D4" s="3" t="s">
        <v>15</v>
      </c>
      <c r="E4" s="3" t="s">
        <v>12</v>
      </c>
      <c r="F4" s="3" t="s">
        <v>11</v>
      </c>
      <c r="G4" s="3" t="s">
        <v>13</v>
      </c>
      <c r="H4" s="3" t="s">
        <v>25</v>
      </c>
    </row>
    <row r="5" spans="1:8">
      <c r="A5" s="3">
        <v>3</v>
      </c>
      <c r="B5" s="3">
        <v>117840</v>
      </c>
      <c r="C5" s="3">
        <v>25466.5</v>
      </c>
      <c r="D5" s="3">
        <v>37275.5</v>
      </c>
      <c r="E5" s="3">
        <v>74448</v>
      </c>
      <c r="F5" s="3">
        <v>42962.5</v>
      </c>
      <c r="G5" s="3">
        <v>31684</v>
      </c>
      <c r="H5" s="3">
        <v>329676.5</v>
      </c>
    </row>
    <row r="6" spans="1:8">
      <c r="A6" s="3">
        <v>4</v>
      </c>
      <c r="B6" s="3">
        <v>65439</v>
      </c>
      <c r="C6" s="3">
        <v>24023</v>
      </c>
      <c r="D6" s="3">
        <v>46917</v>
      </c>
      <c r="E6" s="3">
        <v>39988.5</v>
      </c>
      <c r="F6" s="3">
        <v>44718.5</v>
      </c>
      <c r="G6" s="3">
        <v>45804</v>
      </c>
      <c r="H6" s="3">
        <v>266890</v>
      </c>
    </row>
    <row r="7" spans="1:8">
      <c r="A7" s="3">
        <v>2</v>
      </c>
      <c r="B7" s="3">
        <v>63108</v>
      </c>
      <c r="C7" s="3">
        <v>56687.5</v>
      </c>
      <c r="D7" s="3">
        <v>33900</v>
      </c>
      <c r="E7" s="3">
        <v>19368.5</v>
      </c>
      <c r="F7" s="3">
        <v>24758</v>
      </c>
      <c r="G7" s="3">
        <v>23201</v>
      </c>
      <c r="H7" s="3">
        <v>221023</v>
      </c>
    </row>
    <row r="8" spans="1:8">
      <c r="A8" s="3">
        <v>5</v>
      </c>
      <c r="B8" s="3">
        <v>62859.5</v>
      </c>
      <c r="C8" s="3">
        <v>38490.5</v>
      </c>
      <c r="D8" s="3">
        <v>19058</v>
      </c>
      <c r="E8" s="3">
        <v>15355</v>
      </c>
      <c r="F8" s="3">
        <v>23290.5</v>
      </c>
      <c r="G8" s="3">
        <v>20394</v>
      </c>
      <c r="H8" s="3">
        <v>179447.5</v>
      </c>
    </row>
    <row r="9" spans="1:8">
      <c r="A9" s="3">
        <v>1</v>
      </c>
      <c r="B9" s="3">
        <v>28993</v>
      </c>
      <c r="C9" s="3">
        <v>24115.5</v>
      </c>
      <c r="D9" s="3">
        <v>25274</v>
      </c>
      <c r="E9" s="3">
        <v>6155</v>
      </c>
      <c r="F9" s="3">
        <v>18468.5</v>
      </c>
      <c r="G9" s="3">
        <v>25763</v>
      </c>
      <c r="H9" s="3">
        <v>128769</v>
      </c>
    </row>
    <row r="10" spans="1:8">
      <c r="A10" s="3" t="s">
        <v>25</v>
      </c>
      <c r="B10" s="3">
        <v>338239.5</v>
      </c>
      <c r="C10" s="3">
        <v>168783</v>
      </c>
      <c r="D10" s="3">
        <v>162424.5</v>
      </c>
      <c r="E10" s="3">
        <v>155315</v>
      </c>
      <c r="F10" s="3">
        <v>154198</v>
      </c>
      <c r="G10" s="3">
        <v>146846</v>
      </c>
      <c r="H10" s="3">
        <v>1125806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5CBF-79FD-4676-88EA-95A9DA880B24}">
  <dimension ref="A3:D11"/>
  <sheetViews>
    <sheetView workbookViewId="0">
      <selection activeCell="A19" sqref="A19"/>
    </sheetView>
  </sheetViews>
  <sheetFormatPr defaultRowHeight="15"/>
  <cols>
    <col min="1" max="1" width="29.7109375" bestFit="1" customWidth="1"/>
    <col min="2" max="2" width="10" customWidth="1"/>
    <col min="3" max="4" width="11.5703125" bestFit="1" customWidth="1"/>
    <col min="5" max="5" width="13.5703125" bestFit="1" customWidth="1"/>
    <col min="6" max="6" width="10.140625" bestFit="1" customWidth="1"/>
    <col min="7" max="7" width="14.42578125" bestFit="1" customWidth="1"/>
    <col min="8" max="9" width="12.28515625" bestFit="1" customWidth="1"/>
    <col min="10" max="10" width="30.42578125" bestFit="1" customWidth="1"/>
    <col min="11" max="11" width="14.28515625" bestFit="1" customWidth="1"/>
    <col min="12" max="12" width="13.5703125" bestFit="1" customWidth="1"/>
    <col min="13" max="13" width="8" bestFit="1" customWidth="1"/>
    <col min="14" max="14" width="14.42578125" bestFit="1" customWidth="1"/>
    <col min="15" max="15" width="15.28515625" bestFit="1" customWidth="1"/>
    <col min="16" max="16" width="14.140625" bestFit="1" customWidth="1"/>
    <col min="17" max="17" width="30.42578125" bestFit="1" customWidth="1"/>
    <col min="18" max="18" width="6.28515625" bestFit="1" customWidth="1"/>
    <col min="19" max="19" width="13.5703125" bestFit="1" customWidth="1"/>
    <col min="20" max="20" width="14.28515625" bestFit="1" customWidth="1"/>
    <col min="21" max="21" width="14.42578125" bestFit="1" customWidth="1"/>
    <col min="22" max="22" width="15.28515625" bestFit="1" customWidth="1"/>
    <col min="23" max="23" width="14.140625" bestFit="1" customWidth="1"/>
    <col min="24" max="24" width="30.42578125" bestFit="1" customWidth="1"/>
    <col min="25" max="25" width="14.28515625" bestFit="1" customWidth="1"/>
    <col min="26" max="26" width="13.5703125" bestFit="1" customWidth="1"/>
    <col min="27" max="27" width="9" bestFit="1" customWidth="1"/>
    <col min="28" max="28" width="14.42578125" bestFit="1" customWidth="1"/>
    <col min="29" max="29" width="15.28515625" bestFit="1" customWidth="1"/>
    <col min="30" max="30" width="14.140625" bestFit="1" customWidth="1"/>
    <col min="31" max="31" width="30.42578125" bestFit="1" customWidth="1"/>
    <col min="32" max="32" width="14.28515625" bestFit="1" customWidth="1"/>
    <col min="33" max="33" width="10.140625" bestFit="1" customWidth="1"/>
    <col min="34" max="34" width="13.5703125" bestFit="1" customWidth="1"/>
    <col min="35" max="35" width="14.42578125" bestFit="1" customWidth="1"/>
    <col min="36" max="36" width="14.28515625" bestFit="1" customWidth="1"/>
    <col min="37" max="37" width="14.140625" bestFit="1" customWidth="1"/>
    <col min="38" max="38" width="30.42578125" bestFit="1" customWidth="1"/>
    <col min="39" max="39" width="14.28515625" bestFit="1" customWidth="1"/>
    <col min="40" max="40" width="8" bestFit="1" customWidth="1"/>
    <col min="41" max="41" width="13.5703125" bestFit="1" customWidth="1"/>
    <col min="42" max="42" width="14.42578125" bestFit="1" customWidth="1"/>
    <col min="43" max="43" width="14.28515625" bestFit="1" customWidth="1"/>
    <col min="44" max="44" width="14.140625" bestFit="1" customWidth="1"/>
    <col min="45" max="45" width="30.42578125" bestFit="1" customWidth="1"/>
    <col min="46" max="46" width="14.28515625" bestFit="1" customWidth="1"/>
    <col min="47" max="47" width="13.5703125" bestFit="1" customWidth="1"/>
    <col min="48" max="48" width="8" bestFit="1" customWidth="1"/>
    <col min="49" max="49" width="14.42578125" bestFit="1" customWidth="1"/>
    <col min="50" max="50" width="14.28515625" bestFit="1" customWidth="1"/>
    <col min="51" max="51" width="14.140625" bestFit="1" customWidth="1"/>
    <col min="52" max="52" width="30.42578125" bestFit="1" customWidth="1"/>
    <col min="53" max="53" width="13.5703125" bestFit="1" customWidth="1"/>
    <col min="54" max="54" width="14.28515625" bestFit="1" customWidth="1"/>
    <col min="55" max="55" width="8" bestFit="1" customWidth="1"/>
    <col min="56" max="56" width="14.42578125" bestFit="1" customWidth="1"/>
    <col min="57" max="57" width="14.28515625" bestFit="1" customWidth="1"/>
    <col min="58" max="58" width="14.140625" bestFit="1" customWidth="1"/>
    <col min="59" max="59" width="14.28515625" bestFit="1" customWidth="1"/>
    <col min="60" max="60" width="30.42578125" bestFit="1" customWidth="1"/>
    <col min="61" max="61" width="13.5703125" bestFit="1" customWidth="1"/>
    <col min="62" max="62" width="8" bestFit="1" customWidth="1"/>
    <col min="63" max="63" width="14.42578125" bestFit="1" customWidth="1"/>
    <col min="64" max="64" width="14.28515625" bestFit="1" customWidth="1"/>
    <col min="65" max="65" width="14.140625" bestFit="1" customWidth="1"/>
    <col min="66" max="66" width="30.42578125" bestFit="1" customWidth="1"/>
    <col min="67" max="67" width="14.28515625" bestFit="1" customWidth="1"/>
    <col min="68" max="68" width="13.5703125" bestFit="1" customWidth="1"/>
    <col min="69" max="69" width="8" bestFit="1" customWidth="1"/>
    <col min="70" max="70" width="14.42578125" bestFit="1" customWidth="1"/>
    <col min="71" max="71" width="14.28515625" bestFit="1" customWidth="1"/>
    <col min="72" max="72" width="14.140625" bestFit="1" customWidth="1"/>
    <col min="73" max="73" width="30.42578125" bestFit="1" customWidth="1"/>
    <col min="74" max="74" width="14.28515625" bestFit="1" customWidth="1"/>
    <col min="75" max="75" width="13.5703125" bestFit="1" customWidth="1"/>
    <col min="76" max="76" width="10.140625" bestFit="1" customWidth="1"/>
    <col min="77" max="77" width="14.42578125" bestFit="1" customWidth="1"/>
    <col min="78" max="78" width="14.28515625" bestFit="1" customWidth="1"/>
    <col min="79" max="79" width="14.140625" bestFit="1" customWidth="1"/>
    <col min="80" max="80" width="30.42578125" bestFit="1" customWidth="1"/>
    <col min="81" max="81" width="14.28515625" bestFit="1" customWidth="1"/>
    <col min="82" max="82" width="13.5703125" bestFit="1" customWidth="1"/>
    <col min="83" max="83" width="9" bestFit="1" customWidth="1"/>
    <col min="84" max="84" width="14.42578125" bestFit="1" customWidth="1"/>
    <col min="85" max="85" width="14.28515625" bestFit="1" customWidth="1"/>
    <col min="86" max="86" width="14.140625" bestFit="1" customWidth="1"/>
    <col min="87" max="87" width="14.28515625" bestFit="1" customWidth="1"/>
    <col min="88" max="88" width="30.42578125" bestFit="1" customWidth="1"/>
    <col min="89" max="89" width="13.5703125" bestFit="1" customWidth="1"/>
    <col min="90" max="90" width="8" bestFit="1" customWidth="1"/>
    <col min="91" max="91" width="14.42578125" bestFit="1" customWidth="1"/>
    <col min="92" max="92" width="14.28515625" bestFit="1" customWidth="1"/>
    <col min="93" max="93" width="14.140625" bestFit="1" customWidth="1"/>
    <col min="94" max="94" width="30.42578125" bestFit="1" customWidth="1"/>
    <col min="95" max="95" width="13.5703125" bestFit="1" customWidth="1"/>
    <col min="96" max="96" width="14.28515625" bestFit="1" customWidth="1"/>
    <col min="97" max="97" width="6.28515625" bestFit="1" customWidth="1"/>
    <col min="98" max="98" width="14.42578125" bestFit="1" customWidth="1"/>
    <col min="99" max="99" width="15.28515625" bestFit="1" customWidth="1"/>
    <col min="100" max="100" width="14.140625" bestFit="1" customWidth="1"/>
    <col min="101" max="101" width="13.5703125" bestFit="1" customWidth="1"/>
    <col min="102" max="102" width="30.42578125" bestFit="1" customWidth="1"/>
    <col min="103" max="103" width="14.28515625" bestFit="1" customWidth="1"/>
    <col min="104" max="104" width="9" bestFit="1" customWidth="1"/>
    <col min="105" max="105" width="14.42578125" bestFit="1" customWidth="1"/>
    <col min="106" max="106" width="15.28515625" bestFit="1" customWidth="1"/>
    <col min="107" max="107" width="14.140625" bestFit="1" customWidth="1"/>
    <col min="108" max="108" width="30.42578125" bestFit="1" customWidth="1"/>
    <col min="109" max="109" width="13.5703125" bestFit="1" customWidth="1"/>
    <col min="110" max="110" width="14.28515625" bestFit="1" customWidth="1"/>
    <col min="111" max="111" width="8" bestFit="1" customWidth="1"/>
    <col min="112" max="112" width="14.42578125" bestFit="1" customWidth="1"/>
    <col min="113" max="113" width="15.28515625" bestFit="1" customWidth="1"/>
    <col min="114" max="114" width="12.28515625" bestFit="1" customWidth="1"/>
  </cols>
  <sheetData>
    <row r="3" spans="1:4">
      <c r="A3" s="4" t="s">
        <v>27</v>
      </c>
      <c r="B3" s="4" t="s">
        <v>7</v>
      </c>
    </row>
    <row r="4" spans="1:4">
      <c r="A4" s="4" t="s">
        <v>2</v>
      </c>
      <c r="B4">
        <v>2019</v>
      </c>
      <c r="C4">
        <v>2020</v>
      </c>
      <c r="D4" t="s">
        <v>25</v>
      </c>
    </row>
    <row r="5" spans="1:4">
      <c r="A5" t="s">
        <v>10</v>
      </c>
      <c r="B5" s="9">
        <v>246741</v>
      </c>
      <c r="C5" s="9">
        <v>767977.5</v>
      </c>
      <c r="D5" s="9">
        <v>1014718.5</v>
      </c>
    </row>
    <row r="6" spans="1:4">
      <c r="A6" t="s">
        <v>15</v>
      </c>
      <c r="B6" s="9">
        <v>128280.75</v>
      </c>
      <c r="C6" s="9">
        <v>399598.875</v>
      </c>
      <c r="D6" s="9">
        <v>527879.625</v>
      </c>
    </row>
    <row r="7" spans="1:4">
      <c r="A7" t="s">
        <v>12</v>
      </c>
      <c r="B7" s="9">
        <v>94326.399999999994</v>
      </c>
      <c r="C7" s="9">
        <v>340555.59999999992</v>
      </c>
      <c r="D7" s="9">
        <v>434881.99999999988</v>
      </c>
    </row>
    <row r="8" spans="1:4">
      <c r="A8" t="s">
        <v>13</v>
      </c>
      <c r="B8" s="9">
        <v>78510</v>
      </c>
      <c r="C8" s="9">
        <v>288605</v>
      </c>
      <c r="D8" s="9">
        <v>367115</v>
      </c>
    </row>
    <row r="9" spans="1:4">
      <c r="A9" t="s">
        <v>14</v>
      </c>
      <c r="B9" s="9">
        <v>72772</v>
      </c>
      <c r="C9" s="9">
        <v>222598.25</v>
      </c>
      <c r="D9" s="9">
        <v>295370.25</v>
      </c>
    </row>
    <row r="10" spans="1:4">
      <c r="A10" t="s">
        <v>11</v>
      </c>
      <c r="B10" s="9">
        <v>18140</v>
      </c>
      <c r="C10" s="9">
        <v>58959</v>
      </c>
      <c r="D10" s="9">
        <v>77099</v>
      </c>
    </row>
    <row r="11" spans="1:4">
      <c r="A11" t="s">
        <v>25</v>
      </c>
      <c r="B11" s="9">
        <v>638770.15</v>
      </c>
      <c r="C11" s="9">
        <v>2078294.2249999999</v>
      </c>
      <c r="D11" s="9">
        <v>2717064.375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9DC1-AD38-4C48-BF3C-D45FFE5325E2}">
  <dimension ref="A1"/>
  <sheetViews>
    <sheetView showGridLines="0" tabSelected="1" workbookViewId="0">
      <selection activeCell="X34" sqref="X34"/>
    </sheetView>
  </sheetViews>
  <sheetFormatPr defaultRowHeight="15"/>
  <cols>
    <col min="2" max="2" width="10" bestFit="1" customWidth="1"/>
    <col min="3" max="3" width="15.28515625" bestFit="1" customWidth="1"/>
    <col min="4" max="4" width="11.570312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RISHABH SHARMA</cp:lastModifiedBy>
  <cp:revision/>
  <dcterms:created xsi:type="dcterms:W3CDTF">2021-03-04T22:35:42Z</dcterms:created>
  <dcterms:modified xsi:type="dcterms:W3CDTF">2026-03-04T08:51:07Z</dcterms:modified>
  <cp:category/>
  <cp:contentStatus/>
</cp:coreProperties>
</file>